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122ad4667f4b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" sheetId="1" r:id="Rb92bc66aac6d4031"/>
    <x:sheet xmlns:r="http://schemas.openxmlformats.org/officeDocument/2006/relationships" name="Assumptions" sheetId="2" r:id="Rd67d80c65e8044c6"/>
    <x:sheet xmlns:r="http://schemas.openxmlformats.org/officeDocument/2006/relationships" name="Startup" sheetId="3" r:id="R63095932aaf240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"/>
    <x:numFmt numFmtId="201" formatCode="0.0%"/>
    <x:numFmt numFmtId="202" formatCode="$#,##0.00;($#,##0.00);&quot;—&quot;"/>
    <x:numFmt numFmtId="203" formatCode="0.000"/>
    <x:numFmt numFmtId="204" formatCode="0.00"/>
    <x:numFmt numFmtId="205" formatCode="0.0"/>
    <x:numFmt numFmtId="206" formatCode="$#,##0;($#,##0);&quot;—&quot;"/>
    <x:numFmt numFmtId="207" formatCode="#,##0"/>
    <x:numFmt numFmtId="208" formatCode="#,##0.0;(#,##0.0);&quot;—&quot;"/>
    <x:numFmt numFmtId="209" formatCode="mmm d, yyyy"/>
  </x:numFmts>
  <x:fonts count="11">
    <x:font>
      <x:sz val="11"/>
      <x:name val="Carlito"/>
    </x:font>
    <x:font>
      <x:sz val="11"/>
      <x:color rgb="FF101F2B"/>
      <x:name val="Arial"/>
    </x:font>
    <x:font>
      <x:b/>
      <x:sz val="17"/>
      <x:color rgb="FF101F2B"/>
      <x:name val="Arial"/>
    </x:font>
    <x:font>
      <x:sz val="10"/>
      <x:color rgb="FF58636B"/>
      <x:name val="Arial"/>
    </x:font>
    <x:font>
      <x:b/>
      <x:sz val="11"/>
      <x:color rgb="FFFFFFFF"/>
      <x:name val="Arial"/>
    </x:font>
    <x:font>
      <x:sz val="11"/>
      <x:color rgb="FF155AC4"/>
      <x:name val="Arial"/>
    </x:font>
    <x:font>
      <x:sz val="10"/>
      <x:color rgb="FF101F2B"/>
      <x:name val="Arial"/>
    </x:font>
    <x:font>
      <x:b/>
      <x:sz val="10"/>
      <x:color rgb="FFFFFFFF"/>
      <x:name val="Arial"/>
    </x:font>
    <x:font>
      <x:sz val="11"/>
      <x:color rgb="FF227445"/>
      <x:name val="Arial"/>
    </x:font>
    <x:font>
      <x:b/>
      <x:sz val="11"/>
      <x:color rgb="FF101F2B"/>
      <x:name val="Arial"/>
    </x:font>
    <x:font>
      <x:sz val="10"/>
      <x:color rgb="FF526168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01F2B"/>
      </x:patternFill>
    </x:fill>
    <x:fill>
      <x:patternFill patternType="solid">
        <x:fgColor rgb="FFFFF0BD"/>
      </x:patternFill>
    </x:fill>
    <x:fill>
      <x:patternFill patternType="solid">
        <x:fgColor rgb="FFD5FF58"/>
      </x:patternFill>
    </x:fill>
    <x:fill>
      <x:patternFill patternType="solid">
        <x:fgColor rgb="FFF4F2EB"/>
      </x:patternFill>
    </x:fill>
    <x:fill>
      <x:patternFill patternType="solid">
        <x:fgColor rgb="FF101F2B"/>
      </x:patternFill>
    </x:fill>
    <x:fill>
      <x:patternFill patternType="solid">
        <x:fgColor rgb="FFFFF0BD"/>
      </x:patternFill>
    </x:fill>
    <x:fill>
      <x:patternFill patternType="solid">
        <x:fgColor rgb="FFF4F2EB"/>
      </x:patternFill>
    </x:fill>
  </x:fills>
  <x:borders count="3">
    <x:border/>
    <x:border>
      <x:bottom style="medium">
        <x:color rgb="FF101F2B"/>
      </x:bottom>
    </x:border>
    <x:border>
      <x:top style="thin">
        <x:color rgb="FF101F2B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5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6" fontId="5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6" fontId="1" fillId="0" borderId="2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6" fontId="8" fillId="0" borderId="0" xfId="0" applyNumberFormat="1" applyFont="1" applyFill="1" applyBorder="1" applyAlignment="1">
      <x:alignment vertical="center"/>
    </x:xf>
    <x:xf numFmtId="206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206" fontId="9" fillId="4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7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8" fontId="8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202" fontId="5" fillId="7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9" fontId="5" fillId="7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206" fontId="5" fillId="8" borderId="0" xfId="0" applyNumberFormat="1" applyFont="1" applyFill="1" applyBorder="1" applyAlignment="1">
      <x:alignment vertical="center"/>
    </x:xf>
    <x:xf numFmtId="206" fontId="8" fillId="8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A12D17"/>
      </x:font>
      <x:fill>
        <x:patternFill>
          <x:bgColor rgb="FFFFE1DA"/>
        </x:patternFill>
      </x:fill>
    </x:dxf>
    <x:dxf>
      <x:font>
        <x:b/>
        <x:color rgb="FFA12D17"/>
      </x:font>
      <x:fill>
        <x:patternFill>
          <x:bgColor rgb="FFFFE1DA"/>
        </x:patternFill>
      </x:fill>
    </x:dxf>
    <x:dxf>
      <x:font>
        <x:b/>
        <x:color rgb="FFA12D17"/>
      </x:font>
      <x:fill>
        <x:patternFill>
          <x:bgColor rgb="FFFFE1DA"/>
        </x:patternFill>
      </x:fill>
    </x:dxf>
    <x:dxf>
      <x:font>
        <x:b/>
        <x:color rgb="FFA12D17"/>
      </x:font>
      <x:fill>
        <x:patternFill>
          <x:bgColor rgb="FFFFE1DA"/>
        </x:patternFill>
      </x:fill>
    </x:dxf>
    <x:dxf>
      <x:font>
        <x:b/>
        <x:color rgb="FF9C2525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f4364a04f4dde" /><Relationship Type="http://schemas.openxmlformats.org/officeDocument/2006/relationships/theme" Target="/xl/theme/theme1.xml" Id="Rdfdcf3a67ebc4ed3" /><Relationship Type="http://schemas.openxmlformats.org/officeDocument/2006/relationships/sharedStrings" Target="/xl/sharedStrings.xml" Id="Rf4bb79ec35a34a56" /><Relationship Type="http://schemas.openxmlformats.org/officeDocument/2006/relationships/worksheet" Target="/xl/worksheets/sheet1.xml" Id="Rb92bc66aac6d4031" /><Relationship Type="http://schemas.openxmlformats.org/officeDocument/2006/relationships/worksheet" Target="/xl/worksheets/sheet2.xml" Id="Rd67d80c65e8044c6" /><Relationship Type="http://schemas.openxmlformats.org/officeDocument/2006/relationships/worksheet" Target="/xl/worksheets/sheet3.xml" Id="R63095932aaf240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01F2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43" hidden="0" customWidth="1"/>
    <x:col min="3" max="3" width="17" hidden="0" customWidth="1"/>
    <x:col min="4" max="4" width="21" hidden="0" customWidth="1"/>
    <x:col min="5" max="5" width="3" hidden="0" customWidth="1"/>
    <x:col min="6" max="6" width="36" hidden="0" customWidth="1"/>
    <x:col min="7" max="7" width="17" hidden="0" customWidth="1"/>
    <x:col min="8" max="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31" customHeight="1">
      <x:c r="A2" s="2"/>
      <x:c r="B2" s="3" t="str">
        <x:v>AI SF TOUR / MONTHLY BUDGET</x:v>
      </x:c>
      <x:c r="C2" s="2"/>
      <x:c r="D2" s="2"/>
      <x:c r="E2" s="2"/>
      <x:c r="F2" s="2"/>
      <x:c r="G2" s="2"/>
      <x:c r="H2" s="2"/>
    </x:row>
    <x:row r="3" ht="23" customHeight="1">
      <x:c r="A3" s="2"/>
      <x:c r="B3" s="4"/>
      <x:c r="C3" s="4"/>
      <x:c r="D3" s="4"/>
      <x:c r="E3" s="4"/>
      <x:c r="F3" s="4"/>
      <x:c r="G3" s="4"/>
      <x:c r="H3" s="4"/>
    </x:row>
    <x:row r="4" ht="23" customHeight="1">
      <x:c r="A4" s="2"/>
      <x:c r="B4" s="5" t="str">
        <x:v>Average month • USD • all scheduled departures costed • includes owner labor</x:v>
      </x:c>
      <x:c r="C4" s="5"/>
      <x:c r="D4" s="5"/>
      <x:c r="E4" s="5"/>
      <x:c r="F4" s="5"/>
      <x:c r="G4" s="5"/>
      <x:c r="H4" s="5"/>
    </x:row>
    <x:row r="5" ht="23" customHeight="1">
      <x:c r="A5" s="2"/>
      <x:c r="B5" s="2"/>
      <x:c r="C5" s="2"/>
      <x:c r="D5" s="2"/>
      <x:c r="E5" s="2"/>
      <x:c r="F5" s="2"/>
      <x:c r="G5" s="2"/>
      <x:c r="H5" s="2"/>
    </x:row>
    <x:row r="6" ht="23" customHeight="1">
      <x:c r="A6" s="2"/>
      <x:c r="B6" s="2" t="str">
        <x:v>Case selected</x:v>
      </x:c>
      <x:c r="C6" s="27" t="str">
        <x:f>'Assumptions'!C8</x:f>
        <x:v>Base</x:v>
      </x:c>
      <x:c r="D6" s="28"/>
      <x:c r="E6" s="2"/>
      <x:c r="F6" s="2"/>
      <x:c r="G6" s="2"/>
      <x:c r="H6" s="2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26" customHeight="1">
      <x:c r="A8" s="2"/>
      <x:c r="B8" s="7" t="str">
        <x:v>OPERATING RESULT</x:v>
      </x:c>
      <x:c r="C8" s="7"/>
      <x:c r="D8" s="7"/>
      <x:c r="E8" s="2"/>
      <x:c r="F8" s="34" t="str">
        <x:v>READ THIS BEFORE USING THE SURPLUS</x:v>
      </x:c>
      <x:c r="G8" s="34"/>
      <x:c r="H8" s="34"/>
    </x:row>
    <x:row r="9" ht="23" customHeight="1">
      <x:c r="A9" s="2"/>
      <x:c r="B9" s="2" t="str">
        <x:v>Ticket + return sales</x:v>
      </x:c>
      <x:c r="C9" s="20" t="n">
        <x:f>C44</x:f>
        <x:v>42640</x:v>
      </x:c>
      <x:c r="D9" s="2"/>
      <x:c r="E9" s="2"/>
      <x:c r="F9" s="2"/>
      <x:c r="G9" s="2"/>
      <x:c r="H9" s="2"/>
    </x:row>
    <x:row r="10" ht="23" customHeight="1">
      <x:c r="A10" s="2"/>
      <x:c r="B10" s="32" t="str">
        <x:v>Operating surplus before tax</x:v>
      </x:c>
      <x:c r="C10" s="33" t="n">
        <x:f>C53</x:f>
        <x:v>27733.04</x:v>
      </x:c>
      <x:c r="D10" s="32"/>
      <x:c r="E10" s="2"/>
      <x:c r="F10" s="23" t="str">
        <x:v>This is a planning budget, not evidence of demand.</x:v>
      </x:c>
      <x:c r="G10" s="23"/>
      <x:c r="H10" s="23"/>
    </x:row>
    <x:row r="11" ht="23" customHeight="1">
      <x:c r="A11" s="2"/>
      <x:c r="B11" s="2" t="str">
        <x:v>Owner labor included</x:v>
      </x:c>
      <x:c r="C11" s="20" t="n">
        <x:f>SUM(C48:C50)</x:f>
        <x:v>10680</x:v>
      </x:c>
      <x:c r="D11" s="2"/>
      <x:c r="E11" s="2"/>
      <x:c r="F11" s="23"/>
      <x:c r="G11" s="23"/>
      <x:c r="H11" s="23"/>
    </x:row>
    <x:row r="12" ht="23" customHeight="1">
      <x:c r="A12" s="2"/>
      <x:c r="B12" s="2" t="str">
        <x:v>Guests / month</x:v>
      </x:c>
      <x:c r="C12" s="29" t="n">
        <x:f>C39</x:f>
        <x:v>208</x:v>
      </x:c>
      <x:c r="D12" s="2"/>
      <x:c r="E12" s="2"/>
      <x:c r="F12" s="23" t="str">
        <x:v>All 52 monthly departures carry guide labor,</x:v>
      </x:c>
      <x:c r="G12" s="23"/>
      <x:c r="H12" s="23"/>
    </x:row>
    <x:row r="13" ht="23" customHeight="1">
      <x:c r="A13" s="2"/>
      <x:c r="B13" s="2" t="str">
        <x:v>Break-even occupancy</x:v>
      </x:c>
      <x:c r="C13" s="16" t="n">
        <x:f>C60</x:f>
        <x:v>0.15010254795328012</x:v>
      </x:c>
      <x:c r="D13" s="2"/>
      <x:c r="E13" s="2"/>
      <x:c r="F13" s="23" t="str">
        <x:v>even if a particular departure has no bookings.</x:v>
      </x:c>
      <x:c r="G13" s="23"/>
      <x:c r="H13" s="23"/>
    </x:row>
    <x:row r="14" ht="23" customHeight="1">
      <x:c r="A14" s="2"/>
      <x:c r="B14" s="2" t="str">
        <x:v>Startup + reserve target</x:v>
      </x:c>
      <x:c r="C14" s="20" t="n">
        <x:f>'Startup'!F34</x:f>
        <x:v>28428.9</x:v>
      </x:c>
      <x:c r="D14" s="2"/>
      <x:c r="E14" s="2"/>
      <x:c r="F14" s="23"/>
      <x:c r="G14" s="23"/>
      <x:c r="H14" s="23"/>
    </x:row>
    <x:row r="15" ht="23" customHeight="1">
      <x:c r="A15" s="2"/>
      <x:c r="B15" s="2"/>
      <x:c r="C15" s="2"/>
      <x:c r="D15" s="2"/>
      <x:c r="E15" s="2"/>
      <x:c r="F15" s="23" t="str">
        <x:v>Return staffing reserves 45 minutes every run.</x:v>
      </x:c>
      <x:c r="G15" s="23"/>
      <x:c r="H15" s="23"/>
    </x:row>
    <x:row r="16" ht="26" customHeight="1">
      <x:c r="A16" s="2"/>
      <x:c r="B16" s="7" t="str">
        <x:v>OCCUPANCY COMPARISON</x:v>
      </x:c>
      <x:c r="C16" s="7"/>
      <x:c r="D16" s="7"/>
      <x:c r="E16" s="2"/>
      <x:c r="F16" s="23" t="str">
        <x:f>"Buyers needed per return: "&amp;TEXT(C34,"0")</x:f>
        <x:v>Buyers needed per return: 1</x:v>
      </x:c>
      <x:c r="G16" s="23"/>
      <x:c r="H16" s="23"/>
    </x:row>
    <x:row r="17" ht="23" customHeight="1">
      <x:c r="A17" s="2"/>
      <x:c r="B17" s="34" t="str">
        <x:v>Case / seats sold</x:v>
      </x:c>
      <x:c r="C17" s="34" t="str">
        <x:v>Guests</x:v>
      </x:c>
      <x:c r="D17" s="34" t="str">
        <x:v>Surplus / month</x:v>
      </x:c>
      <x:c r="E17" s="2"/>
      <x:c r="F17" s="23"/>
      <x:c r="G17" s="23"/>
      <x:c r="H17" s="23"/>
    </x:row>
    <x:row r="18" ht="23" customHeight="1">
      <x:c r="A18" s="2"/>
      <x:c r="B18" s="2" t="str">
        <x:f>"Conservative ("&amp;TEXT('Assumptions'!C11,"0%")&amp;")"</x:f>
        <x:v>Conservative (25%)</x:v>
      </x:c>
      <x:c r="C18" s="29" t="n">
        <x:f>IF(ISNUMBER('Assumptions'!C11),$C$29*'Assumptions'!C11,"n.a.")</x:f>
        <x:v>104</x:v>
      </x:c>
      <x:c r="D18" s="20" t="n">
        <x:f>IF(ISNUMBER(C18),C18*$C$57-$C$58,"n.a.")</x:f>
        <x:v>7917.919999999998</x:v>
      </x:c>
      <x:c r="E18" s="2"/>
      <x:c r="F18" s="23" t="str">
        <x:v>AM return is outside noon finish. Allow travel,</x:v>
      </x:c>
      <x:c r="G18" s="23"/>
      <x:c r="H18" s="23"/>
    </x:row>
    <x:row r="19" ht="23" customHeight="1">
      <x:c r="A19" s="2"/>
      <x:c r="B19" s="2" t="str">
        <x:f>"Base ("&amp;TEXT('Assumptions'!C12,"0%")&amp;")"</x:f>
        <x:v>Base (50%)</x:v>
      </x:c>
      <x:c r="C19" s="29" t="n">
        <x:f>IF(ISNUMBER('Assumptions'!C12),$C$29*'Assumptions'!C12,"n.a.")</x:f>
        <x:v>208</x:v>
      </x:c>
      <x:c r="D19" s="20" t="n">
        <x:f>IF(ISNUMBER(C19),C19*$C$57-$C$58,"n.a.")</x:f>
        <x:v>27733.039999999997</x:v>
      </x:c>
      <x:c r="E19" s="2"/>
      <x:c r="F19" s="23" t="str">
        <x:v>lunch and setup before the 2 PM departure.</x:v>
      </x:c>
      <x:c r="G19" s="23"/>
      <x:c r="H19" s="23"/>
    </x:row>
    <x:row r="20" ht="23" customHeight="1">
      <x:c r="A20" s="2"/>
      <x:c r="B20" s="2" t="str">
        <x:f>"High ("&amp;TEXT('Assumptions'!C13,"0%")&amp;")"</x:f>
        <x:v>High (75%)</x:v>
      </x:c>
      <x:c r="C20" s="29" t="n">
        <x:f>IF(ISNUMBER('Assumptions'!C13),$C$29*'Assumptions'!C13,"n.a.")</x:f>
        <x:v>312</x:v>
      </x:c>
      <x:c r="D20" s="20" t="n">
        <x:f>IF(ISNUMBER(C20),C20*$C$57-$C$58,"n.a.")</x:f>
        <x:v>47548.16</x:v>
      </x:c>
      <x:c r="E20" s="2"/>
      <x:c r="F20" s="23"/>
      <x:c r="G20" s="23"/>
      <x:c r="H20" s="23"/>
    </x:row>
    <x:row r="21" ht="23" customHeight="1">
      <x:c r="A21" s="2"/>
      <x:c r="B21" s="2"/>
      <x:c r="C21" s="2"/>
      <x:c r="D21" s="2"/>
      <x:c r="E21" s="2"/>
      <x:c r="F21" s="23" t="str">
        <x:v>PM return can extend work to about 6:15 PM.</x:v>
      </x:c>
      <x:c r="G21" s="23"/>
      <x:c r="H21" s="23"/>
    </x:row>
    <x:row r="22" ht="23" customHeight="1">
      <x:c r="A22" s="2"/>
      <x:c r="B22" s="5" t="str">
        <x:v>The three cases share one unit-economics build below.</x:v>
      </x:c>
      <x:c r="C22" s="5"/>
      <x:c r="D22" s="5"/>
      <x:c r="E22" s="5"/>
      <x:c r="F22" s="5" t="str">
        <x:v>Timings need a full group rehearsal.</x:v>
      </x:c>
      <x:c r="G22" s="5"/>
      <x:c r="H22" s="5"/>
    </x:row>
    <x:row r="23" ht="23" customHeight="1">
      <x:c r="A23" s="2"/>
      <x:c r="B23" s="5" t="str">
        <x:v>Change prices, costs or occupancies in Assumptions.</x:v>
      </x:c>
      <x:c r="C23" s="5"/>
      <x:c r="D23" s="5"/>
      <x:c r="E23" s="5"/>
      <x:c r="F23" s="5"/>
      <x:c r="G23" s="5"/>
      <x:c r="H23" s="5"/>
    </x:row>
    <x:row r="24" ht="23" customHeight="1">
      <x:c r="A24" s="2"/>
      <x:c r="B24" s="2"/>
      <x:c r="C24" s="2"/>
      <x:c r="D24" s="2"/>
      <x:c r="E24" s="2"/>
      <x:c r="F24" s="23" t="str">
        <x:v>Owner labor uses the effective rate in Assumptions.</x:v>
      </x:c>
      <x:c r="G24" s="23"/>
      <x:c r="H24" s="23"/>
    </x:row>
    <x:row r="25" ht="26" customHeight="1">
      <x:c r="A25" s="2"/>
      <x:c r="B25" s="7" t="str">
        <x:v>SHARED OPERATING BUILD</x:v>
      </x:c>
      <x:c r="C25" s="7"/>
      <x:c r="D25" s="7"/>
      <x:c r="E25" s="2"/>
      <x:c r="F25" s="23" t="str">
        <x:v>Surplus is after that allowance, before income tax.</x:v>
      </x:c>
      <x:c r="G25" s="23"/>
      <x:c r="H25" s="23"/>
    </x:row>
    <x:row r="26" ht="23" customHeight="1">
      <x:c r="A26" s="2"/>
      <x:c r="B26" s="2" t="str">
        <x:v>Operating days / average month</x:v>
      </x:c>
      <x:c r="C26" s="35" t="n">
        <x:f>'Assumptions'!C17*'Assumptions'!C18</x:f>
        <x:v>26</x:v>
      </x:c>
      <x:c r="D26" s="2"/>
      <x:c r="E26" s="2"/>
      <x:c r="F26" s="23"/>
      <x:c r="G26" s="23"/>
      <x:c r="H26" s="23"/>
    </x:row>
    <x:row r="27" ht="23" customHeight="1">
      <x:c r="A27" s="2"/>
      <x:c r="B27" s="2" t="str">
        <x:v>Scheduled departures</x:v>
      </x:c>
      <x:c r="C27" s="35" t="n">
        <x:f>C26*'Assumptions'!C16</x:f>
        <x:v>52</x:v>
      </x:c>
      <x:c r="D27" s="2"/>
      <x:c r="E27" s="2"/>
      <x:c r="F27" s="23" t="str">
        <x:v>No OTA commission, FX conversion, employer</x:v>
      </x:c>
      <x:c r="G27" s="23"/>
      <x:c r="H27" s="23"/>
    </x:row>
    <x:row r="28" ht="23" customHeight="1">
      <x:c r="A28" s="2"/>
      <x:c r="B28" s="2" t="str">
        <x:v>Seats / departure</x:v>
      </x:c>
      <x:c r="C28" s="35" t="n">
        <x:f>'Assumptions'!C19</x:f>
        <x:v>8</x:v>
      </x:c>
      <x:c r="D28" s="2"/>
      <x:c r="E28" s="2"/>
      <x:c r="F28" s="23" t="str">
        <x:v>payroll burden or finance cost is assumed.</x:v>
      </x:c>
      <x:c r="G28" s="23"/>
      <x:c r="H28" s="23"/>
    </x:row>
    <x:row r="29" ht="23" customHeight="1">
      <x:c r="A29" s="2"/>
      <x:c r="B29" s="2" t="str">
        <x:v>Available guest seats</x:v>
      </x:c>
      <x:c r="C29" s="29" t="n">
        <x:f>C27*C28</x:f>
        <x:v>416</x:v>
      </x:c>
      <x:c r="D29" s="2"/>
      <x:c r="E29" s="2"/>
      <x:c r="F29" s="23"/>
      <x:c r="G29" s="23"/>
      <x:c r="H29" s="23"/>
    </x:row>
    <x:row r="30" ht="23" customHeight="1">
      <x:c r="A30" s="2"/>
      <x:c r="B30" s="2" t="str">
        <x:v>Ticket contribution / guest</x:v>
      </x:c>
      <x:c r="C30" s="36" t="n">
        <x:f>'Assumptions'!C15-('Assumptions'!C15*('Assumptions'!C26+'Assumptions'!C29*'Assumptions'!C30)+'Assumptions'!C27)-'Assumptions'!C23-'Assumptions'!C25-'Assumptions'!C15*'Assumptions'!C28</x:f>
        <x:v>181.195</x:v>
      </x:c>
      <x:c r="D30" s="2"/>
      <x:c r="E30" s="2"/>
      <x:c r="F30" s="23" t="str">
        <x:v>The domestic card baseline may understate</x:v>
      </x:c>
      <x:c r="G30" s="23"/>
      <x:c r="H30" s="23"/>
    </x:row>
    <x:row r="31" ht="23" customHeight="1">
      <x:c r="A31" s="2"/>
      <x:c r="B31" s="2" t="str">
        <x:v>Return contribution / buyer</x:v>
      </x:c>
      <x:c r="C31" s="36" t="n">
        <x:f>'Assumptions'!C32*(1-'Assumptions'!C26-'Assumptions'!C29*'Assumptions'!C30-'Assumptions'!C28)-'Assumptions'!C36-'Assumptions'!C35</x:f>
        <x:v>37.34</x:v>
      </x:c>
      <x:c r="D31" s="2"/>
      <x:c r="E31" s="2"/>
      <x:c r="F31" s="23" t="str">
        <x:v>fees for visitors with international cards.</x:v>
      </x:c>
      <x:c r="G31" s="23"/>
      <x:c r="H31" s="23"/>
    </x:row>
    <x:row r="32" ht="23" customHeight="1">
      <x:c r="A32" s="2"/>
      <x:c r="B32" s="2" t="str">
        <x:v>Return guide cost / departure</x:v>
      </x:c>
      <x:c r="C32" s="36" t="n">
        <x:f>'Assumptions'!C34*'Assumptions'!C66</x:f>
        <x:v>30</x:v>
      </x:c>
      <x:c r="D32" s="2"/>
      <x:c r="E32" s="2"/>
      <x:c r="F32" s="23"/>
      <x:c r="G32" s="23"/>
      <x:c r="H32" s="23"/>
    </x:row>
    <x:row r="33" ht="23" customHeight="1">
      <x:c r="A33" s="2"/>
      <x:c r="B33" s="2" t="str">
        <x:v>Return staffing / month</x:v>
      </x:c>
      <x:c r="C33" s="30" t="n">
        <x:f>IF('Assumptions'!C33=0,0,C27*C32*'Assumptions'!C37)</x:f>
        <x:v>1560</x:v>
      </x:c>
      <x:c r="D33" s="2"/>
      <x:c r="E33" s="2"/>
      <x:c r="F33" s="23" t="str">
        <x:v>Reconfirm fares and actual insurance / permit</x:v>
      </x:c>
      <x:c r="G33" s="23"/>
      <x:c r="H33" s="23"/>
    </x:row>
    <x:row r="34" ht="23" customHeight="1">
      <x:c r="A34" s="2"/>
      <x:c r="B34" s="2" t="str">
        <x:v>Return buyers to cover one return</x:v>
      </x:c>
      <x:c r="C34" s="29" t="n">
        <x:f>IF(C31&gt;0,ROUNDUP(C32/C31,0),"n.a.")</x:f>
        <x:v>1</x:v>
      </x:c>
      <x:c r="D34" s="2"/>
      <x:c r="E34" s="2"/>
      <x:c r="F34" s="23" t="str">
        <x:v>costs before final launch commitments.</x:v>
      </x:c>
      <x:c r="G34" s="23"/>
      <x:c r="H34" s="23"/>
    </x:row>
    <x:row r="35" ht="23" customHeight="1">
      <x:c r="A35" s="2"/>
      <x:c r="B35" s="2" t="str">
        <x:v>Owner tour labor / month</x:v>
      </x:c>
      <x:c r="C35" s="30" t="n">
        <x:f>C27*'Assumptions'!C20*'Assumptions'!C66</x:f>
        <x:v>8320</x:v>
      </x:c>
      <x:c r="D35" s="2"/>
      <x:c r="E35" s="2"/>
      <x:c r="F35" s="23"/>
      <x:c r="G35" s="23"/>
      <x:c r="H35" s="23"/>
    </x:row>
    <x:row r="36" ht="23" customHeight="1">
      <x:c r="A36" s="2"/>
      <x:c r="B36" s="2" t="str">
        <x:v>Owner admin labor / month</x:v>
      </x:c>
      <x:c r="C36" s="30" t="n">
        <x:f>'Assumptions'!C22*'Assumptions'!C66</x:f>
        <x:v>800</x:v>
      </x:c>
      <x:c r="D36" s="2"/>
      <x:c r="E36" s="2"/>
      <x:c r="F36" s="23" t="str">
        <x:v>Do not infer demand from these three cases.</x:v>
      </x:c>
      <x:c r="G36" s="23"/>
      <x:c r="H36" s="23"/>
    </x:row>
    <x:row r="37" ht="23" customHeight="1">
      <x:c r="A37" s="2"/>
      <x:c r="B37" s="2" t="str">
        <x:v>Guide Muni / month</x:v>
      </x:c>
      <x:c r="C37" s="30" t="n">
        <x:f>C26*'Assumptions'!C24</x:f>
        <x:v>148.20000000000002</x:v>
      </x:c>
      <x:c r="D37" s="2"/>
      <x:c r="E37" s="2"/>
      <x:c r="F37" s="2"/>
      <x:c r="G37" s="2"/>
      <x:c r="H37" s="2"/>
    </x:row>
    <x:row r="38" ht="23" customHeight="1">
      <x:c r="A38" s="2"/>
      <x:c r="B38" s="2"/>
      <x:c r="C38" s="2"/>
      <x:c r="D38" s="2"/>
      <x:c r="E38" s="2"/>
      <x:c r="F38" s="41" t="str">
        <x:v>SAN FRANCISCO LABOR</x:v>
      </x:c>
      <x:c r="G38" s="41"/>
      <x:c r="H38" s="41"/>
    </x:row>
    <x:row r="39" ht="23" customHeight="1">
      <x:c r="A39" s="2"/>
      <x:c r="B39" s="2" t="str">
        <x:v>Guests / month</x:v>
      </x:c>
      <x:c r="C39" s="35" t="n">
        <x:f>C29*'Assumptions'!C10</x:f>
        <x:v>208</x:v>
      </x:c>
      <x:c r="D39" s="2"/>
      <x:c r="E39" s="2"/>
      <x:c r="F39" s="2" t="str">
        <x:v>SF minimum / hour</x:v>
      </x:c>
      <x:c r="G39" s="36" t="n">
        <x:f>'Assumptions'!C65</x:f>
        <x:v>19.61</x:v>
      </x:c>
      <x:c r="H39" s="2"/>
    </x:row>
    <x:row r="40" ht="23" customHeight="1">
      <x:c r="A40" s="2"/>
      <x:c r="B40" s="2" t="str">
        <x:v>Average guests / departure</x:v>
      </x:c>
      <x:c r="C40" s="37" t="n">
        <x:f>C39/C27</x:f>
        <x:v>4</x:v>
      </x:c>
      <x:c r="D40" s="2"/>
      <x:c r="E40" s="2"/>
      <x:c r="F40" s="2" t="str">
        <x:v>Effective budget rate / hour</x:v>
      </x:c>
      <x:c r="G40" s="36" t="n">
        <x:f>'Assumptions'!C66</x:f>
        <x:v>40</x:v>
      </x:c>
      <x:c r="H40" s="2"/>
    </x:row>
    <x:row r="41" ht="23" customHeight="1">
      <x:c r="A41" s="2"/>
      <x:c r="B41" s="2" t="str">
        <x:v>Return buyers / month</x:v>
      </x:c>
      <x:c r="C41" s="35" t="n">
        <x:f>C39*'Assumptions'!C33</x:f>
        <x:v>52</x:v>
      </x:c>
      <x:c r="D41" s="2"/>
      <x:c r="E41" s="2"/>
      <x:c r="F41" s="2"/>
      <x:c r="G41" s="2"/>
      <x:c r="H41" s="2"/>
    </x:row>
    <x:row r="42" ht="23" customHeight="1">
      <x:c r="A42" s="2"/>
      <x:c r="B42" s="2" t="str">
        <x:v>Ticket sales</x:v>
      </x:c>
      <x:c r="C42" s="30" t="n">
        <x:f>C39*'Assumptions'!C15</x:f>
        <x:v>40560</x:v>
      </x:c>
      <x:c r="D42" s="2"/>
      <x:c r="E42" s="2"/>
      <x:c r="F42" s="42" t="str">
        <x:v>Employee hiring also needs overtime and employer costs.</x:v>
      </x:c>
      <x:c r="G42" s="42"/>
      <x:c r="H42" s="42"/>
    </x:row>
    <x:row r="43" ht="23" customHeight="1">
      <x:c r="A43" s="2"/>
      <x:c r="B43" s="2" t="str">
        <x:v>Return sales</x:v>
      </x:c>
      <x:c r="C43" s="30" t="n">
        <x:f>C41*'Assumptions'!C32</x:f>
        <x:v>2080</x:v>
      </x:c>
      <x:c r="D43" s="2"/>
      <x:c r="E43" s="2"/>
      <x:c r="F43" s="42" t="str">
        <x:v>The current model values owner time; see Assumptions.</x:v>
      </x:c>
      <x:c r="G43" s="42"/>
      <x:c r="H43" s="42"/>
    </x:row>
    <x:row r="44" ht="23" customHeight="1">
      <x:c r="A44" s="2"/>
      <x:c r="B44" s="2" t="str">
        <x:v>Gross sales</x:v>
      </x:c>
      <x:c r="C44" s="20" t="n">
        <x:f>SUM(C42:C43)</x:f>
        <x:v>42640</x:v>
      </x:c>
      <x:c r="D44" s="2"/>
      <x:c r="E44" s="2"/>
      <x:c r="F44" s="2"/>
      <x:c r="G44" s="2"/>
      <x:c r="H44" s="2"/>
    </x:row>
    <x:row r="45" ht="23" customHeight="1">
      <x:c r="A45" s="2"/>
      <x:c r="B45" s="2" t="str">
        <x:v>Stripe processing</x:v>
      </x:c>
      <x:c r="C45" s="30" t="n">
        <x:f>C44*('Assumptions'!C26+'Assumptions'!C29*'Assumptions'!C30)+C39*'Assumptions'!C27+C41*'Assumptions'!C36</x:f>
        <x:v>1314.5600000000002</x:v>
      </x:c>
      <x:c r="D45" s="2"/>
      <x:c r="E45" s="2"/>
      <x:c r="F45" s="2"/>
      <x:c r="G45" s="2"/>
      <x:c r="H45" s="2"/>
    </x:row>
    <x:row r="46" ht="23" customHeight="1">
      <x:c r="A46" s="2"/>
      <x:c r="B46" s="2" t="str">
        <x:v>Guest fares + consumables</x:v>
      </x:c>
      <x:c r="C46" s="30" t="n">
        <x:f>C39*SUM('Assumptions'!C23,'Assumptions'!C25)+C41*'Assumptions'!C35</x:f>
        <x:v>416</x:v>
      </x:c>
      <x:c r="D46" s="2"/>
      <x:c r="E46" s="2"/>
      <x:c r="F46" s="2"/>
      <x:c r="G46" s="2"/>
      <x:c r="H46" s="2"/>
    </x:row>
    <x:row r="47" ht="23" customHeight="1">
      <x:c r="A47" s="2"/>
      <x:c r="B47" s="2" t="str">
        <x:v>Refund / incident reserve</x:v>
      </x:c>
      <x:c r="C47" s="30" t="n">
        <x:f>C44*'Assumptions'!C28</x:f>
        <x:v>1279.2</x:v>
      </x:c>
      <x:c r="D47" s="2"/>
      <x:c r="E47" s="2"/>
      <x:c r="F47" s="2"/>
      <x:c r="G47" s="2"/>
      <x:c r="H47" s="2"/>
    </x:row>
    <x:row r="48" ht="23" customHeight="1">
      <x:c r="A48" s="2"/>
      <x:c r="B48" s="2" t="str">
        <x:v>Owner tour labor</x:v>
      </x:c>
      <x:c r="C48" s="20" t="n">
        <x:f>C35</x:f>
        <x:v>8320</x:v>
      </x:c>
      <x:c r="D48" s="2"/>
      <x:c r="E48" s="2"/>
      <x:c r="F48" s="2"/>
      <x:c r="G48" s="2"/>
      <x:c r="H48" s="2"/>
    </x:row>
    <x:row r="49" ht="23" customHeight="1">
      <x:c r="A49" s="2"/>
      <x:c r="B49" s="2" t="str">
        <x:v>Owner return labor</x:v>
      </x:c>
      <x:c r="C49" s="20" t="n">
        <x:f>C33</x:f>
        <x:v>1560</x:v>
      </x:c>
      <x:c r="D49" s="2"/>
      <x:c r="E49" s="2"/>
      <x:c r="F49" s="2"/>
      <x:c r="G49" s="2"/>
      <x:c r="H49" s="2"/>
    </x:row>
    <x:row r="50" ht="23" customHeight="1">
      <x:c r="A50" s="2"/>
      <x:c r="B50" s="2" t="str">
        <x:v>Owner admin labor</x:v>
      </x:c>
      <x:c r="C50" s="20" t="n">
        <x:f>C36</x:f>
        <x:v>800</x:v>
      </x:c>
      <x:c r="D50" s="2"/>
      <x:c r="E50" s="2"/>
      <x:c r="F50" s="2"/>
      <x:c r="G50" s="2"/>
      <x:c r="H50" s="2"/>
    </x:row>
    <x:row r="51" ht="23" customHeight="1">
      <x:c r="A51" s="2"/>
      <x:c r="B51" s="2" t="str">
        <x:v>Guide fares</x:v>
      </x:c>
      <x:c r="C51" s="20" t="n">
        <x:f>C37</x:f>
        <x:v>148.20000000000002</x:v>
      </x:c>
      <x:c r="D51" s="2"/>
      <x:c r="E51" s="2"/>
      <x:c r="F51" s="2"/>
      <x:c r="G51" s="2"/>
      <x:c r="H51" s="2"/>
    </x:row>
    <x:row r="52" ht="23" customHeight="1">
      <x:c r="A52" s="2"/>
      <x:c r="B52" s="2" t="str">
        <x:v>Overhead</x:v>
      </x:c>
      <x:c r="C52" s="30" t="n">
        <x:f>'Assumptions'!C52</x:f>
        <x:v>1069</x:v>
      </x:c>
      <x:c r="D52" s="2"/>
      <x:c r="E52" s="2"/>
      <x:c r="F52" s="2"/>
      <x:c r="G52" s="2"/>
      <x:c r="H52" s="2"/>
    </x:row>
    <x:row r="53" ht="23" customHeight="1">
      <x:c r="A53" s="2"/>
      <x:c r="B53" s="32" t="str">
        <x:v>Operating surplus before tax</x:v>
      </x:c>
      <x:c r="C53" s="33" t="n">
        <x:f>C44-SUM(C45:C52)</x:f>
        <x:v>27733.04</x:v>
      </x:c>
      <x:c r="D53" s="32"/>
      <x:c r="E53" s="2"/>
      <x:c r="F53" s="2"/>
      <x:c r="G53" s="2"/>
      <x:c r="H53" s="2"/>
    </x:row>
    <x:row r="54" ht="23" customHeight="1">
      <x:c r="A54" s="2"/>
      <x:c r="B54" s="2" t="str">
        <x:v>Return add-on surplus</x:v>
      </x:c>
      <x:c r="C54" s="20" t="n">
        <x:f>C41*C31-C33</x:f>
        <x:v>381.6800000000003</x:v>
      </x:c>
      <x:c r="D54" s="2"/>
      <x:c r="E54" s="2"/>
      <x:c r="F54" s="2"/>
      <x:c r="G54" s="2"/>
      <x:c r="H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</x:row>
    <x:row r="56" ht="26" customHeight="1">
      <x:c r="A56" s="2"/>
      <x:c r="B56" s="7" t="str">
        <x:v>BREAK EVEN + RETURN ECONOMICS</x:v>
      </x:c>
      <x:c r="C56" s="7"/>
      <x:c r="D56" s="7"/>
      <x:c r="E56" s="2"/>
      <x:c r="F56" s="2"/>
      <x:c r="G56" s="2"/>
      <x:c r="H56" s="2"/>
    </x:row>
    <x:row r="57" ht="23" customHeight="1">
      <x:c r="A57" s="2"/>
      <x:c r="B57" s="2" t="str">
        <x:v>Blended contribution / guest</x:v>
      </x:c>
      <x:c r="C57" s="36" t="n">
        <x:f>C30+'Assumptions'!C33*C31</x:f>
        <x:v>190.53</x:v>
      </x:c>
      <x:c r="D57" s="2"/>
      <x:c r="E57" s="2"/>
      <x:c r="F57" s="2"/>
      <x:c r="G57" s="2"/>
      <x:c r="H57" s="2"/>
    </x:row>
    <x:row r="58" ht="23" customHeight="1">
      <x:c r="A58" s="2"/>
      <x:c r="B58" s="2" t="str">
        <x:v>Committed monthly costs</x:v>
      </x:c>
      <x:c r="C58" s="20" t="n">
        <x:f>SUM(C33,C35:C37,C52)</x:f>
        <x:v>11897.2</x:v>
      </x:c>
      <x:c r="D58" s="2"/>
      <x:c r="E58" s="2"/>
      <x:c r="F58" s="2"/>
      <x:c r="G58" s="2"/>
      <x:c r="H58" s="2"/>
    </x:row>
    <x:row r="59" ht="23" customHeight="1">
      <x:c r="A59" s="2"/>
      <x:c r="B59" s="2" t="str">
        <x:v>Guests to break even</x:v>
      </x:c>
      <x:c r="C59" s="29" t="n">
        <x:f>IF(C57&gt;0,ROUNDUP(C58/C57,0),"n.a.")</x:f>
        <x:v>63</x:v>
      </x:c>
      <x:c r="D59" s="2"/>
      <x:c r="E59" s="2"/>
      <x:c r="F59" s="2"/>
      <x:c r="G59" s="2"/>
      <x:c r="H59" s="2"/>
    </x:row>
    <x:row r="60" ht="23" customHeight="1">
      <x:c r="A60" s="2"/>
      <x:c r="B60" s="2" t="str">
        <x:v>Occupancy to break even</x:v>
      </x:c>
      <x:c r="C60" s="16" t="n">
        <x:f>IF(C57&gt;0,C58/C57/C29,"n.a.")</x:f>
        <x:v>0.15010254795328012</x:v>
      </x:c>
      <x:c r="D60" s="2"/>
      <x:c r="E60" s="2"/>
      <x:c r="F60" s="2"/>
      <x:c r="G60" s="2"/>
      <x:c r="H60" s="2"/>
    </x:row>
    <x:row r="61" ht="23" customHeight="1">
      <x:c r="A61" s="2"/>
      <x:c r="B61" s="2" t="str">
        <x:v>Average guests / departure at break even</x:v>
      </x:c>
      <x:c r="C61" s="37" t="n">
        <x:f>IF(C57&gt;0,C58/C57/C27,"n.a.")</x:f>
        <x:v>1.200820383626241</x:v>
      </x:c>
      <x:c r="D61" s="2"/>
      <x:c r="E61" s="2"/>
      <x:c r="F61" s="2"/>
      <x:c r="G61" s="2"/>
      <x:c r="H61" s="2"/>
    </x:row>
    <x:row r="62" ht="23" customHeight="1">
      <x:c r="A62" s="2"/>
      <x:c r="B62" s="2" t="str">
        <x:v>Surplus without return service</x:v>
      </x:c>
      <x:c r="C62" s="20" t="n">
        <x:f>C39*C30-(C58-C33)</x:f>
        <x:v>27351.359999999997</x:v>
      </x:c>
      <x:c r="D62" s="2"/>
      <x:c r="E62" s="2"/>
      <x:c r="F62" s="2"/>
      <x:c r="G62" s="2"/>
      <x:c r="H62" s="2"/>
    </x:row>
    <x:row r="63" ht="23" customHeight="1">
      <x:c r="A63" s="2"/>
      <x:c r="B63" s="2" t="str">
        <x:v>Owner economic hours / month</x:v>
      </x:c>
      <x:c r="C63" s="38" t="n">
        <x:f>C27*'Assumptions'!C20+'Assumptions'!C22+IF('Assumptions'!C33=0,0,C27*'Assumptions'!C34*'Assumptions'!C37)</x:f>
        <x:v>267</x:v>
      </x:c>
      <x:c r="D63" s="2"/>
      <x:c r="E63" s="2"/>
      <x:c r="F63" s="2"/>
      <x:c r="G63" s="2"/>
      <x:c r="H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</x:row>
    <x:row r="66" ht="23" customHeight="1">
      <x:c r="A66" s="2"/>
      <x:c r="B66" s="5" t="str">
        <x:v>All amounts are planning estimates except cited published fares / fees and user-set prices.</x:v>
      </x:c>
      <x:c r="C66" s="5"/>
      <x:c r="D66" s="5"/>
      <x:c r="E66" s="5"/>
      <x:c r="F66" s="5"/>
      <x:c r="G66" s="5"/>
      <x:c r="H66" s="5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</x:row>
  </x:sheetData>
  <x:conditionalFormatting sqref="C10:C10">
    <x:cfRule type="cellIs" dxfId="0" priority="1" operator="lessThan">
      <x:formula>0</x:formula>
    </x:cfRule>
  </x:conditionalFormatting>
  <x:conditionalFormatting sqref="D18:D20">
    <x:cfRule type="cellIs" dxfId="1" priority="2" operator="lessThan">
      <x:formula>0</x:formula>
    </x:cfRule>
  </x:conditionalFormatting>
  <x:conditionalFormatting sqref="C53:C54">
    <x:cfRule type="cellIs" dxfId="2" priority="3" operator="lessThan">
      <x:formula>0</x:formula>
    </x:cfRule>
  </x:conditionalFormatting>
  <x:conditionalFormatting sqref="C62:C62">
    <x:cfRule type="cellIs" dxfId="3" priority="4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1868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43" hidden="0" customWidth="1"/>
    <x:col min="3" max="3" width="17" hidden="0" customWidth="1"/>
    <x:col min="4" max="4" width="66" hidden="0" customWidth="1"/>
    <x:col min="5" max="5" width="3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31" customHeight="1">
      <x:c r="A2" s="2"/>
      <x:c r="B2" s="3" t="str">
        <x:v>AI SF TOUR / ASSUMPTIONS</x:v>
      </x:c>
      <x:c r="C2" s="2"/>
      <x:c r="D2" s="2"/>
      <x:c r="E2" s="2"/>
      <x:c r="F2" s="2"/>
      <x:c r="G2" s="2"/>
      <x:c r="H2" s="2"/>
    </x:row>
    <x:row r="3" ht="23" customHeight="1">
      <x:c r="A3" s="2"/>
      <x:c r="B3" s="4"/>
      <x:c r="C3" s="4"/>
      <x:c r="D3" s="4"/>
      <x:c r="E3" s="4"/>
      <x:c r="F3" s="4"/>
      <x:c r="G3" s="4"/>
      <x:c r="H3" s="4"/>
    </x:row>
    <x:row r="4" ht="23" customHeight="1">
      <x:c r="A4" s="2"/>
      <x:c r="B4" s="5" t="str">
        <x:v>Planning model • 8 Sep 2026 • USD • amber / blue values are editable</x:v>
      </x:c>
      <x:c r="C4" s="5"/>
      <x:c r="D4" s="5"/>
      <x:c r="E4" s="5"/>
      <x:c r="F4" s="5"/>
      <x:c r="G4" s="5"/>
      <x:c r="H4" s="5"/>
    </x:row>
    <x:row r="5" ht="23" customHeight="1">
      <x:c r="A5" s="2"/>
      <x:c r="B5" s="2"/>
      <x:c r="C5" s="2"/>
      <x:c r="D5" s="2"/>
      <x:c r="E5" s="2"/>
      <x:c r="F5" s="2"/>
      <x:c r="G5" s="2"/>
      <x:c r="H5" s="2"/>
    </x:row>
    <x:row r="6" ht="26" customHeight="1">
      <x:c r="A6" s="2"/>
      <x:c r="B6" s="7" t="str">
        <x:v>CASE CONTROL</x:v>
      </x:c>
      <x:c r="C6" s="7"/>
      <x:c r="D6" s="7"/>
      <x:c r="E6" s="2"/>
      <x:c r="F6" s="2"/>
      <x:c r="G6" s="2"/>
      <x:c r="H6" s="2"/>
    </x:row>
    <x:row r="7" ht="23" customHeight="1">
      <x:c r="A7" s="2"/>
      <x:c r="B7" s="2" t="str">
        <x:v>Case selected (1 / 2 / 3)</x:v>
      </x:c>
      <x:c r="C7" s="10" t="n">
        <x:v>2</x:v>
      </x:c>
      <x:c r="D7" s="23" t="str">
        <x:v>1 Conservative • 2 Base • 3 High</x:v>
      </x:c>
      <x:c r="E7" s="2"/>
      <x:c r="F7" s="2"/>
      <x:c r="G7" s="2"/>
      <x:c r="H7" s="2"/>
    </x:row>
    <x:row r="8" ht="23" customHeight="1">
      <x:c r="A8" s="2"/>
      <x:c r="B8" s="2" t="str">
        <x:v>Case name</x:v>
      </x:c>
      <x:c r="C8" s="2" t="str">
        <x:f>CHOOSE(C7,"Conservative","Base","High")</x:f>
        <x:v>Base</x:v>
      </x:c>
      <x:c r="D8" s="23"/>
      <x:c r="E8" s="2"/>
      <x:c r="F8" s="2"/>
      <x:c r="G8" s="2"/>
      <x:c r="H8" s="2"/>
    </x:row>
    <x:row r="9" ht="23" customHeight="1">
      <x:c r="A9" s="2"/>
      <x:c r="B9" s="2"/>
      <x:c r="C9" s="2"/>
      <x:c r="D9" s="23"/>
      <x:c r="E9" s="2"/>
      <x:c r="F9" s="2"/>
      <x:c r="G9" s="2"/>
      <x:c r="H9" s="2"/>
    </x:row>
    <x:row r="10" ht="23" customHeight="1">
      <x:c r="A10" s="2"/>
      <x:c r="B10" s="17" t="str">
        <x:v>Active occupancy</x:v>
      </x:c>
      <x:c r="C10" s="18" t="n">
        <x:f>IF(CHOOSE($C$7,ISNUMBER(C11),ISNUMBER(C12),ISNUMBER(C13)),CHOOSE($C$7,C11,C12,C13),"n.a.")</x:f>
        <x:v>0.5</x:v>
      </x:c>
      <x:c r="D10" s="23" t="str">
        <x:v>Share of available seats sold. Change the case selector above.</x:v>
      </x:c>
      <x:c r="E10" s="2"/>
      <x:c r="F10" s="2"/>
      <x:c r="G10" s="2"/>
      <x:c r="H10" s="2"/>
    </x:row>
    <x:row r="11" ht="23" customHeight="1">
      <x:c r="A11" s="2"/>
      <x:c r="B11" s="2" t="str">
        <x:v>Conservative occupancy</x:v>
      </x:c>
      <x:c r="C11" s="11" t="n">
        <x:v>0.25</x:v>
      </x:c>
      <x:c r="D11" s="23" t="str">
        <x:v>Planning assumption; demand has not been tested.</x:v>
      </x:c>
      <x:c r="E11" s="2"/>
      <x:c r="F11" s="2"/>
      <x:c r="G11" s="2"/>
      <x:c r="H11" s="2"/>
    </x:row>
    <x:row r="12" ht="23" customHeight="1">
      <x:c r="A12" s="2"/>
      <x:c r="B12" s="2" t="str">
        <x:v>Base occupancy</x:v>
      </x:c>
      <x:c r="C12" s="11" t="n">
        <x:v>0.5</x:v>
      </x:c>
      <x:c r="D12" s="23" t="str">
        <x:v>Planning assumption; not a sales forecast.</x:v>
      </x:c>
      <x:c r="E12" s="2"/>
      <x:c r="F12" s="2"/>
      <x:c r="G12" s="2"/>
      <x:c r="H12" s="2"/>
    </x:row>
    <x:row r="13" ht="23" customHeight="1">
      <x:c r="A13" s="2"/>
      <x:c r="B13" s="2" t="str">
        <x:v>High occupancy</x:v>
      </x:c>
      <x:c r="C13" s="11" t="n">
        <x:v>0.75</x:v>
      </x:c>
      <x:c r="D13" s="23" t="str">
        <x:v>Planning assumption; no Mondays.</x:v>
      </x:c>
      <x:c r="E13" s="2"/>
      <x:c r="F13" s="2"/>
      <x:c r="G13" s="2"/>
      <x:c r="H13" s="2"/>
    </x:row>
    <x:row r="14" ht="23" customHeight="1">
      <x:c r="A14" s="2"/>
      <x:c r="B14" s="2"/>
      <x:c r="C14" s="2"/>
      <x:c r="D14" s="23"/>
      <x:c r="E14" s="2"/>
      <x:c r="F14" s="2"/>
      <x:c r="G14" s="2"/>
      <x:c r="H14" s="2"/>
    </x:row>
    <x:row r="15" ht="23" customHeight="1">
      <x:c r="A15" s="2"/>
      <x:c r="B15" s="2" t="str">
        <x:v>Ticket price / person</x:v>
      </x:c>
      <x:c r="C15" s="12" t="n">
        <x:v>195</x:v>
      </x:c>
      <x:c r="D15" s="23" t="str">
        <x:v>User brief; ages 16 and older.</x:v>
      </x:c>
      <x:c r="E15" s="2"/>
      <x:c r="F15" s="2"/>
      <x:c r="G15" s="2"/>
      <x:c r="H15" s="2"/>
    </x:row>
    <x:row r="16" ht="23" customHeight="1">
      <x:c r="A16" s="2"/>
      <x:c r="B16" s="2" t="str">
        <x:v>Departures / operating day</x:v>
      </x:c>
      <x:c r="C16" s="10" t="n">
        <x:v>2</x:v>
      </x:c>
      <x:c r="D16" s="23" t="str">
        <x:v>8:30 AM–12 PM and 2–5:30 PM.</x:v>
      </x:c>
      <x:c r="E16" s="2"/>
      <x:c r="F16" s="2"/>
      <x:c r="G16" s="2"/>
      <x:c r="H16" s="2"/>
    </x:row>
    <x:row r="17" ht="23" customHeight="1">
      <x:c r="A17" s="2"/>
      <x:c r="B17" s="2" t="str">
        <x:v>Operating days / week</x:v>
      </x:c>
      <x:c r="C17" s="10" t="n">
        <x:v>6</x:v>
      </x:c>
      <x:c r="D17" s="23" t="str">
        <x:v>Tuesday through Sunday.</x:v>
      </x:c>
      <x:c r="E17" s="2"/>
      <x:c r="F17" s="2"/>
      <x:c r="G17" s="2"/>
      <x:c r="H17" s="2"/>
    </x:row>
    <x:row r="18" ht="23" customHeight="1">
      <x:c r="A18" s="2"/>
      <x:c r="B18" s="2" t="str">
        <x:v>Weeks / average month</x:v>
      </x:c>
      <x:c r="C18" s="13" t="n">
        <x:v>4.333333333333333</x:v>
      </x:c>
      <x:c r="D18" s="23" t="str">
        <x:v>Average month (52 weeks / 12), not actual September count.</x:v>
      </x:c>
      <x:c r="E18" s="2"/>
      <x:c r="F18" s="2"/>
      <x:c r="G18" s="2"/>
      <x:c r="H18" s="2"/>
    </x:row>
    <x:row r="19" ht="23" customHeight="1">
      <x:c r="A19" s="2"/>
      <x:c r="B19" s="2" t="str">
        <x:v>Capacity / departure</x:v>
      </x:c>
      <x:c r="C19" s="10" t="n">
        <x:v>8</x:v>
      </x:c>
      <x:c r="D19" s="23" t="str">
        <x:v>Planning limit, subject to route test and guiding quality.</x:v>
      </x:c>
      <x:c r="E19" s="2"/>
      <x:c r="F19" s="2"/>
      <x:c r="G19" s="2"/>
      <x:c r="H19" s="2"/>
    </x:row>
    <x:row r="20" ht="23" customHeight="1">
      <x:c r="A20" s="2"/>
      <x:c r="B20" s="2" t="str">
        <x:v>Owner-guide hours / departure</x:v>
      </x:c>
      <x:c r="C20" s="14" t="n">
        <x:v>4</x:v>
      </x:c>
      <x:c r="D20" s="23" t="str">
        <x:v>3.5-hour tour + 0.5-hour preparation; return hours additional.</x:v>
      </x:c>
      <x:c r="E20" s="2"/>
      <x:c r="F20" s="2"/>
      <x:c r="G20" s="2"/>
      <x:c r="H20" s="2"/>
    </x:row>
    <x:row r="21" ht="23" customHeight="1">
      <x:c r="A21" s="2"/>
      <x:c r="B21" s="2" t="str">
        <x:v>Owner-guide target / hour</x:v>
      </x:c>
      <x:c r="C21" s="12" t="n">
        <x:v>40</x:v>
      </x:c>
      <x:c r="D21" s="23" t="str">
        <x:v>Owner economic value; effective model rate in C66 enforces the SF floor.</x:v>
      </x:c>
      <x:c r="E21" s="2"/>
      <x:c r="F21" s="2"/>
      <x:c r="G21" s="2"/>
      <x:c r="H21" s="2"/>
    </x:row>
    <x:row r="22" ht="23" customHeight="1">
      <x:c r="A22" s="2"/>
      <x:c r="B22" s="2" t="str">
        <x:v>Owner admin hours / month</x:v>
      </x:c>
      <x:c r="C22" s="15" t="n">
        <x:v>20</x:v>
      </x:c>
      <x:c r="D22" s="23" t="str">
        <x:v>Bookings, marketing, customer service and maintenance.</x:v>
      </x:c>
      <x:c r="E22" s="2"/>
      <x:c r="F22" s="2"/>
      <x:c r="G22" s="2"/>
      <x:c r="H22" s="2"/>
    </x:row>
    <x:row r="23" ht="23" customHeight="1">
      <x:c r="A23" s="2"/>
      <x:c r="B23" s="2" t="str">
        <x:v>Guest Muni cost to operator</x:v>
      </x:c>
      <x:c r="C23" s="12" t="n">
        <x:v>0</x:v>
      </x:c>
      <x:c r="D23" s="23" t="str">
        <x:v>Guests buy their own passes. Guide teaches Muni use.</x:v>
      </x:c>
      <x:c r="E23" s="2"/>
      <x:c r="F23" s="2"/>
      <x:c r="G23" s="2"/>
      <x:c r="H23" s="2"/>
    </x:row>
    <x:row r="24" ht="23" customHeight="1">
      <x:c r="A24" s="2"/>
      <x:c r="B24" s="2" t="str">
        <x:v>Guide Muni cost / operating day</x:v>
      </x:c>
      <x:c r="C24" s="12" t="n">
        <x:v>5.7</x:v>
      </x:c>
      <x:c r="D24" s="23" t="str">
        <x:v>One day pass per operating day, shared across both departures.</x:v>
      </x:c>
      <x:c r="E24" s="2"/>
      <x:c r="F24" s="2"/>
      <x:c r="G24" s="2"/>
      <x:c r="H24" s="2"/>
    </x:row>
    <x:row r="25" ht="23" customHeight="1">
      <x:c r="A25" s="2"/>
      <x:c r="B25" s="2" t="str">
        <x:v>Guest consumables / person</x:v>
      </x:c>
      <x:c r="C25" s="12" t="n">
        <x:v>2</x:v>
      </x:c>
      <x:c r="D25" s="23" t="str">
        <x:v>Planning estimate: handout / water contingency.</x:v>
      </x:c>
      <x:c r="E25" s="2"/>
      <x:c r="F25" s="2"/>
      <x:c r="G25" s="2"/>
      <x:c r="H25" s="2"/>
    </x:row>
    <x:row r="26" ht="23" customHeight="1">
      <x:c r="A26" s="2"/>
      <x:c r="B26" s="2" t="str">
        <x:v>Stripe domestic online percentage</x:v>
      </x:c>
      <x:c r="C26" s="11" t="n">
        <x:v>0.029</x:v>
      </x:c>
      <x:c r="D26" s="23" t="str">
        <x:v>Official US standard domestic online cards; see source below.</x:v>
      </x:c>
      <x:c r="E26" s="2"/>
      <x:c r="F26" s="2"/>
      <x:c r="G26" s="2"/>
      <x:c r="H26" s="2"/>
    </x:row>
    <x:row r="27" ht="23" customHeight="1">
      <x:c r="A27" s="2"/>
      <x:c r="B27" s="2" t="str">
        <x:v>Stripe fixed fee / ticket order</x:v>
      </x:c>
      <x:c r="C27" s="12" t="n">
        <x:v>0.3</x:v>
      </x:c>
      <x:c r="D27" s="23" t="str">
        <x:v>Conservative one paid guest per transaction.</x:v>
      </x:c>
      <x:c r="E27" s="2"/>
      <x:c r="F27" s="2"/>
      <x:c r="G27" s="2"/>
      <x:c r="H27" s="2"/>
    </x:row>
    <x:row r="28" ht="23" customHeight="1">
      <x:c r="A28" s="2"/>
      <x:c r="B28" s="2" t="str">
        <x:v>Refund / incident reserve rate</x:v>
      </x:c>
      <x:c r="C28" s="11" t="n">
        <x:v>0.03</x:v>
      </x:c>
      <x:c r="D28" s="23" t="str">
        <x:v>Planning deduction on ticket and return sales; not observed refunds.</x:v>
      </x:c>
      <x:c r="E28" s="2"/>
      <x:c r="F28" s="2"/>
      <x:c r="G28" s="2"/>
      <x:c r="H28" s="2"/>
    </x:row>
    <x:row r="29" ht="23" customHeight="1">
      <x:c r="A29" s="2"/>
      <x:c r="B29" s="2" t="str">
        <x:v>International card share</x:v>
      </x:c>
      <x:c r="C29" s="11" t="n">
        <x:v>0</x:v>
      </x:c>
      <x:c r="D29" s="23" t="str">
        <x:v>Editable mix allowance; tourist sales could be materially international.</x:v>
      </x:c>
      <x:c r="E29" s="2"/>
      <x:c r="F29" s="2"/>
      <x:c r="G29" s="2"/>
      <x:c r="H29" s="2"/>
    </x:row>
    <x:row r="30" ht="23" customHeight="1">
      <x:c r="A30" s="2"/>
      <x:c r="B30" s="2" t="str">
        <x:v>International card extra fee</x:v>
      </x:c>
      <x:c r="C30" s="11" t="n">
        <x:v>0.015</x:v>
      </x:c>
      <x:c r="D30" s="23" t="str">
        <x:v>Official Stripe additional percentage; excludes FX and keyed entry.</x:v>
      </x:c>
      <x:c r="E30" s="2"/>
      <x:c r="F30" s="2"/>
      <x:c r="G30" s="2"/>
      <x:c r="H30" s="2"/>
    </x:row>
    <x:row r="31" ht="23" customHeight="1">
      <x:c r="A31" s="2"/>
      <x:c r="B31" s="2"/>
      <x:c r="C31" s="2"/>
      <x:c r="D31" s="23"/>
      <x:c r="E31" s="2"/>
      <x:c r="F31" s="2"/>
      <x:c r="G31" s="2"/>
      <x:c r="H31" s="2"/>
    </x:row>
    <x:row r="32" ht="23" customHeight="1">
      <x:c r="A32" s="2"/>
      <x:c r="B32" s="2" t="str">
        <x:v>Guided return price / person</x:v>
      </x:c>
      <x:c r="C32" s="12" t="n">
        <x:v>40</x:v>
      </x:c>
      <x:c r="D32" s="23" t="str">
        <x:v>User price revision, 8 Sep 2026; guided Muni return.</x:v>
      </x:c>
      <x:c r="E32" s="2"/>
      <x:c r="F32" s="2"/>
      <x:c r="G32" s="2"/>
      <x:c r="H32" s="2"/>
    </x:row>
    <x:row r="33" ht="23" customHeight="1">
      <x:c r="A33" s="2"/>
      <x:c r="B33" s="2" t="str">
        <x:v>Return buyer share</x:v>
      </x:c>
      <x:c r="C33" s="11" t="n">
        <x:v>0.25</x:v>
      </x:c>
      <x:c r="D33" s="23" t="str">
        <x:v>Planning assumption, same in every occupancy case.</x:v>
      </x:c>
      <x:c r="E33" s="2"/>
      <x:c r="F33" s="2"/>
      <x:c r="G33" s="2"/>
      <x:c r="H33" s="2"/>
    </x:row>
    <x:row r="34" ht="23" customHeight="1">
      <x:c r="A34" s="2"/>
      <x:c r="B34" s="2" t="str">
        <x:v>Return guide hours / departure</x:v>
      </x:c>
      <x:c r="C34" s="14" t="n">
        <x:v>0.75</x:v>
      </x:c>
      <x:c r="D34" s="23" t="str">
        <x:v>45-minute allowance outside the advertised 3.5-hour tour.</x:v>
      </x:c>
      <x:c r="E34" s="2"/>
      <x:c r="F34" s="2"/>
      <x:c r="G34" s="2"/>
      <x:c r="H34" s="2"/>
    </x:row>
    <x:row r="35" ht="23" customHeight="1">
      <x:c r="A35" s="2"/>
      <x:c r="B35" s="2" t="str">
        <x:v>Return incremental Muni / buyer</x:v>
      </x:c>
      <x:c r="C35" s="12" t="n">
        <x:v>0</x:v>
      </x:c>
      <x:c r="D35" s="23" t="str">
        <x:v>Guests pay their own fares; return price covers guiding.</x:v>
      </x:c>
      <x:c r="E35" s="2"/>
      <x:c r="F35" s="2"/>
      <x:c r="G35" s="2"/>
      <x:c r="H35" s="2"/>
    </x:row>
    <x:row r="36" ht="23" customHeight="1">
      <x:c r="A36" s="2"/>
      <x:c r="B36" s="2" t="str">
        <x:v>Return incremental fixed card fee</x:v>
      </x:c>
      <x:c r="C36" s="12" t="n">
        <x:v>0.3</x:v>
      </x:c>
      <x:c r="D36" s="23" t="str">
        <x:v>Assumes a separate purchase per buyer; set to zero when bundled.</x:v>
      </x:c>
      <x:c r="E36" s="2"/>
      <x:c r="F36" s="2"/>
      <x:c r="G36" s="2"/>
      <x:c r="H36" s="2"/>
    </x:row>
    <x:row r="37" ht="23" customHeight="1">
      <x:c r="A37" s="2"/>
      <x:c r="B37" s="2" t="str">
        <x:v>Return staffing commitment</x:v>
      </x:c>
      <x:c r="C37" s="10" t="n">
        <x:v>1</x:v>
      </x:c>
      <x:c r="D37" s="23" t="str">
        <x:v>1 = reserve time on every departure when return take-up &gt; 0.</x:v>
      </x:c>
      <x:c r="E37" s="2"/>
      <x:c r="F37" s="2"/>
      <x:c r="G37" s="2"/>
      <x:c r="H37" s="2"/>
    </x:row>
    <x:row r="38" ht="23" customHeight="1">
      <x:c r="A38" s="2"/>
      <x:c r="B38" s="2"/>
      <x:c r="C38" s="2"/>
      <x:c r="D38" s="23"/>
      <x:c r="E38" s="2"/>
      <x:c r="F38" s="2"/>
      <x:c r="G38" s="2"/>
      <x:c r="H38" s="2"/>
    </x:row>
    <x:row r="39" ht="23" customHeight="1">
      <x:c r="A39" s="2"/>
      <x:c r="B39" s="2" t="str">
        <x:v>Startup contingency</x:v>
      </x:c>
      <x:c r="C39" s="11" t="n">
        <x:v>0.15</x:v>
      </x:c>
      <x:c r="D39" s="23" t="str">
        <x:v>Planning buffer applied to startup selected costs.</x:v>
      </x:c>
      <x:c r="E39" s="2"/>
      <x:c r="F39" s="2"/>
      <x:c r="G39" s="2"/>
      <x:c r="H39" s="2"/>
    </x:row>
    <x:row r="40" ht="23" customHeight="1">
      <x:c r="A40" s="2"/>
      <x:c r="B40" s="2" t="str">
        <x:v>Working-capital reserve / months</x:v>
      </x:c>
      <x:c r="C40" s="15" t="n">
        <x:v>2</x:v>
      </x:c>
      <x:c r="D40" s="23" t="str">
        <x:v>Committed operating costs including owner labor, before sales.</x:v>
      </x:c>
      <x:c r="E40" s="2"/>
      <x:c r="F40" s="2"/>
      <x:c r="G40" s="2"/>
      <x:c r="H40" s="2"/>
    </x:row>
    <x:row r="41" ht="23" customHeight="1">
      <x:c r="A41" s="2"/>
      <x:c r="B41" s="2"/>
      <x:c r="C41" s="2"/>
      <x:c r="D41" s="23"/>
      <x:c r="E41" s="2"/>
      <x:c r="F41" s="2"/>
      <x:c r="G41" s="2"/>
      <x:c r="H41" s="2"/>
    </x:row>
    <x:row r="42" ht="26" customHeight="1">
      <x:c r="A42" s="2"/>
      <x:c r="B42" s="7" t="str">
        <x:v>MONTHLY OVERHEAD / ESTIMATES</x:v>
      </x:c>
      <x:c r="C42" s="7"/>
      <x:c r="D42" s="24"/>
      <x:c r="E42" s="2"/>
      <x:c r="F42" s="2"/>
      <x:c r="G42" s="2"/>
      <x:c r="H42" s="2"/>
    </x:row>
    <x:row r="43" ht="23" customHeight="1">
      <x:c r="A43" s="2"/>
      <x:c r="B43" s="2" t="str">
        <x:v>Liability insurance</x:v>
      </x:c>
      <x:c r="C43" s="19" t="n">
        <x:v>180</x:v>
      </x:c>
      <x:c r="D43" s="23" t="str">
        <x:v>Placeholder premium; secure tour-specific quote.</x:v>
      </x:c>
      <x:c r="E43" s="2"/>
      <x:c r="F43" s="2"/>
      <x:c r="G43" s="2"/>
      <x:c r="H43" s="2"/>
    </x:row>
    <x:row r="44" ht="23" customHeight="1">
      <x:c r="A44" s="2"/>
      <x:c r="B44" s="2" t="str">
        <x:v>Website / domain / hosting</x:v>
      </x:c>
      <x:c r="C44" s="19" t="n">
        <x:v>35</x:v>
      </x:c>
      <x:c r="D44" s="23" t="str">
        <x:v>Planning allowance; existing tools may reduce this.</x:v>
      </x:c>
      <x:c r="E44" s="2"/>
      <x:c r="F44" s="2"/>
      <x:c r="G44" s="2"/>
      <x:c r="H44" s="2"/>
    </x:row>
    <x:row r="45" ht="23" customHeight="1">
      <x:c r="A45" s="2"/>
      <x:c r="B45" s="2" t="str">
        <x:v>Booking software</x:v>
      </x:c>
      <x:c r="C45" s="19" t="n">
        <x:v>39</x:v>
      </x:c>
      <x:c r="D45" s="23" t="str">
        <x:v>Planning allowance; no vendor quote.</x:v>
      </x:c>
      <x:c r="E45" s="2"/>
      <x:c r="F45" s="2"/>
      <x:c r="G45" s="2"/>
      <x:c r="H45" s="2"/>
    </x:row>
    <x:row r="46" ht="23" customHeight="1">
      <x:c r="A46" s="2"/>
      <x:c r="B46" s="2" t="str">
        <x:v>Phone / data incremental</x:v>
      </x:c>
      <x:c r="C46" s="19" t="n">
        <x:v>30</x:v>
      </x:c>
      <x:c r="D46" s="23" t="str">
        <x:v>Business share; planning estimate.</x:v>
      </x:c>
      <x:c r="E46" s="2"/>
      <x:c r="F46" s="2"/>
      <x:c r="G46" s="2"/>
      <x:c r="H46" s="2"/>
    </x:row>
    <x:row r="47" ht="23" customHeight="1">
      <x:c r="A47" s="2"/>
      <x:c r="B47" s="2" t="str">
        <x:v>Bookkeeping / tax support</x:v>
      </x:c>
      <x:c r="C47" s="19" t="n">
        <x:v>120</x:v>
      </x:c>
      <x:c r="D47" s="23" t="str">
        <x:v>Planning allowance; tax charges not modeled.</x:v>
      </x:c>
      <x:c r="E47" s="2"/>
      <x:c r="F47" s="2"/>
      <x:c r="G47" s="2"/>
      <x:c r="H47" s="2"/>
    </x:row>
    <x:row r="48" ht="23" customHeight="1">
      <x:c r="A48" s="2"/>
      <x:c r="B48" s="2" t="str">
        <x:v>Equipment replacement reserve</x:v>
      </x:c>
      <x:c r="C48" s="19" t="n">
        <x:v>40</x:v>
      </x:c>
      <x:c r="D48" s="23" t="str">
        <x:v>Cash reserve, not formal depreciation.</x:v>
      </x:c>
      <x:c r="E48" s="2"/>
      <x:c r="F48" s="2"/>
      <x:c r="G48" s="2"/>
      <x:c r="H48" s="2"/>
    </x:row>
    <x:row r="49" ht="23" customHeight="1">
      <x:c r="A49" s="2"/>
      <x:c r="B49" s="2" t="str">
        <x:v>Paid marketing</x:v>
      </x:c>
      <x:c r="C49" s="19" t="n">
        <x:v>600</x:v>
      </x:c>
      <x:c r="D49" s="23" t="str">
        <x:v>Planning test budget; no acquisition evidence.</x:v>
      </x:c>
      <x:c r="E49" s="2"/>
      <x:c r="F49" s="2"/>
      <x:c r="G49" s="2"/>
      <x:c r="H49" s="2"/>
    </x:row>
    <x:row r="50" ht="23" customHeight="1">
      <x:c r="A50" s="2"/>
      <x:c r="B50" s="2" t="str">
        <x:v>Licenses / admin renewal reserve</x:v>
      </x:c>
      <x:c r="C50" s="19" t="n">
        <x:v>25</x:v>
      </x:c>
      <x:c r="D50" s="23" t="str">
        <x:v>Placeholder, not a verified fee.</x:v>
      </x:c>
      <x:c r="E50" s="2"/>
      <x:c r="F50" s="2"/>
      <x:c r="G50" s="2"/>
      <x:c r="H50" s="2"/>
    </x:row>
    <x:row r="51" ht="23" customHeight="1">
      <x:c r="A51" s="2"/>
      <x:c r="B51" s="2" t="str">
        <x:v>Storage / meeting-point rent</x:v>
      </x:c>
      <x:c r="C51" s="19" t="n">
        <x:v>0</x:v>
      </x:c>
      <x:c r="D51" s="23" t="str">
        <x:v>Assumes no rent; confirm before launch.</x:v>
      </x:c>
      <x:c r="E51" s="2"/>
      <x:c r="F51" s="2"/>
      <x:c r="G51" s="2"/>
      <x:c r="H51" s="2"/>
    </x:row>
    <x:row r="52" ht="23" customHeight="1">
      <x:c r="A52" s="2"/>
      <x:c r="B52" s="21" t="str">
        <x:v>Total overhead</x:v>
      </x:c>
      <x:c r="C52" s="22" t="n">
        <x:f>SUM(C43:C51)</x:f>
        <x:v>1069</x:v>
      </x:c>
      <x:c r="D52" s="25"/>
      <x:c r="E52" s="2"/>
      <x:c r="F52" s="2"/>
      <x:c r="G52" s="2"/>
      <x:c r="H52" s="2"/>
    </x:row>
    <x:row r="53" ht="23" customHeight="1">
      <x:c r="A53" s="2"/>
      <x:c r="B53" s="2"/>
      <x:c r="C53" s="2"/>
      <x:c r="D53" s="23"/>
      <x:c r="E53" s="2"/>
      <x:c r="F53" s="2"/>
      <x:c r="G53" s="2"/>
      <x:c r="H53" s="2"/>
    </x:row>
    <x:row r="54" ht="26" customHeight="1">
      <x:c r="A54" s="2"/>
      <x:c r="B54" s="7" t="str">
        <x:v>SOURCE REGISTER / CHECKED 8 SEP 2026</x:v>
      </x:c>
      <x:c r="C54" s="7"/>
      <x:c r="D54" s="24"/>
      <x:c r="E54" s="2"/>
      <x:c r="F54" s="2"/>
      <x:c r="G54" s="2"/>
      <x:c r="H54" s="2"/>
    </x:row>
    <x:row r="55" ht="23" customHeight="1">
      <x:c r="A55" s="2"/>
      <x:c r="B55" s="2" t="str">
        <x:v>Stripe US standard pricing</x:v>
      </x:c>
      <x:c r="C55" s="2"/>
      <x:c r="D55" s="23" t="str">
        <x:v>https://stripe.com/us/pricing</x:v>
      </x:c>
      <x:c r="E55" s="2"/>
      <x:c r="F55" s="2"/>
      <x:c r="G55" s="2"/>
      <x:c r="H55" s="2"/>
    </x:row>
    <x:row r="56" ht="23" customHeight="1">
      <x:c r="A56" s="2"/>
      <x:c r="B56" s="2" t="str">
        <x:v>SFMTA Muni day pass</x:v>
      </x:c>
      <x:c r="C56" s="2"/>
      <x:c r="D56" s="23" t="str">
        <x:v>https://www.sfmta.com/fares/day-pass</x:v>
      </x:c>
      <x:c r="E56" s="2"/>
      <x:c r="F56" s="2"/>
      <x:c r="G56" s="2"/>
      <x:c r="H56" s="2"/>
    </x:row>
    <x:row r="57" ht="23" customHeight="1">
      <x:c r="A57" s="2"/>
      <x:c r="B57" s="2" t="str">
        <x:v>SFMTA adult single ride</x:v>
      </x:c>
      <x:c r="C57" s="2"/>
      <x:c r="D57" s="23" t="str">
        <x:v>https://www.sfmta.com/fares/single-ride-adult-ages-19-64</x:v>
      </x:c>
      <x:c r="E57" s="2"/>
      <x:c r="F57" s="2"/>
      <x:c r="G57" s="2"/>
      <x:c r="H57" s="2"/>
    </x:row>
    <x:row r="58" ht="23" customHeight="1">
      <x:c r="A58" s="2"/>
      <x:c r="B58" s="2" t="str">
        <x:v>SFMTA youth fares (18 and under)</x:v>
      </x:c>
      <x:c r="C58" s="2"/>
      <x:c r="D58" s="23" t="str">
        <x:v>https://www.sfmta.com/fares/free-muni-all-youth-18-years-and-younger</x:v>
      </x:c>
      <x:c r="E58" s="2"/>
      <x:c r="F58" s="2"/>
      <x:c r="G58" s="2"/>
      <x:c r="H58" s="2"/>
    </x:row>
    <x:row r="59" ht="23" customHeight="1">
      <x:c r="A59" s="2"/>
      <x:c r="B59" s="2" t="str">
        <x:v>Scope</x:v>
      </x:c>
      <x:c r="C59" s="2"/>
      <x:c r="D59" s="23" t="str">
        <x:v>Estimates exclude income tax, financing, sales taxes and OTA commissions.</x:v>
      </x:c>
      <x:c r="E59" s="2"/>
      <x:c r="F59" s="2"/>
      <x:c r="G59" s="2"/>
      <x:c r="H59" s="2"/>
    </x:row>
    <x:row r="60" ht="23" customHeight="1">
      <x:c r="A60" s="2"/>
      <x:c r="B60" s="2" t="str">
        <x:v>Card mix</x:v>
      </x:c>
      <x:c r="C60" s="2"/>
      <x:c r="D60" s="23" t="str">
        <x:v>FX adds 1%; keyed entry adds 0.5%; not included in domestic baseline.</x:v>
      </x:c>
      <x:c r="E60" s="2"/>
      <x:c r="F60" s="2"/>
      <x:c r="G60" s="2"/>
      <x:c r="H60" s="2"/>
    </x:row>
    <x:row r="61" ht="23" customHeight="1">
      <x:c r="A61" s="2"/>
      <x:c r="B61" s="2" t="str">
        <x:v>Fare limitation</x:v>
      </x:c>
      <x:c r="C61" s="2"/>
      <x:c r="D61" s="23" t="str">
        <x:v>Muni day pass covers buses / trains / historic streetcars, not cable cars.</x:v>
      </x:c>
      <x:c r="E61" s="2"/>
      <x:c r="F61" s="2"/>
      <x:c r="G61" s="2"/>
      <x:c r="H61" s="2"/>
    </x:row>
    <x:row r="62" ht="23" customHeight="1">
      <x:c r="A62" s="2"/>
      <x:c r="B62" s="2" t="str">
        <x:v>Ownership</x:v>
      </x:c>
      <x:c r="C62" s="2"/>
      <x:c r="D62" s="23" t="str">
        <x:v>Owner labor is an economic cost even when paid as drawings, not wages.</x:v>
      </x:c>
      <x:c r="E62" s="2"/>
      <x:c r="F62" s="2"/>
      <x:c r="G62" s="2"/>
      <x:c r="H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</x:row>
    <x:row r="64" ht="26" customHeight="1">
      <x:c r="B64" s="41" t="str">
        <x:v>SAN FRANCISCO LABOR BASIS</x:v>
      </x:c>
      <x:c r="C64" s="41"/>
      <x:c r="D64" s="41"/>
    </x:row>
    <x:row r="65" ht="23" customHeight="1">
      <x:c r="B65" s="2" t="str">
        <x:v>SF minimum wage / hour</x:v>
      </x:c>
      <x:c r="C65" s="45" t="n">
        <x:v>19.61</x:v>
      </x:c>
      <x:c r="D65" s="42" t="str">
        <x:v>General employee minimum; effective July 1, 2026.</x:v>
      </x:c>
    </x:row>
    <x:row r="66" ht="23" customHeight="1">
      <x:c r="B66" s="2" t="str">
        <x:v>Effective budget rate / hour</x:v>
      </x:c>
      <x:c r="C66" s="48" t="n">
        <x:f>IF(AND(ISNUMBER(C21),ISNUMBER(C65),C21&gt;0,C65&gt;0),MAX(C21,C65),NA())</x:f>
        <x:v>40</x:v>
      </x:c>
      <x:c r="D66" s="42" t="str">
        <x:v>Higher of the owner-guide target (C21) and SF minimum (C65).</x:v>
      </x:c>
    </x:row>
    <x:row r="67" ht="23" customHeight="1">
      <x:c r="B67" s="2" t="str">
        <x:v>Minimum wage effective date</x:v>
      </x:c>
      <x:c r="C67" s="47" t="n">
        <x:v>46204</x:v>
      </x:c>
      <x:c r="D67" s="42" t="str">
        <x:v>Verified September 9, 2026; review before each July 1 increase.</x:v>
      </x:c>
    </x:row>
    <x:row r="68" ht="23" customHeight="1">
      <x:c r="B68" s="2" t="str">
        <x:v>Allowance above minimum / hour</x:v>
      </x:c>
      <x:c r="C68" s="48" t="n">
        <x:f>C66-C65</x:f>
        <x:v>20.39</x:v>
      </x:c>
      <x:c r="D68" s="42" t="str">
        <x:v>Budget allowance above the employee minimum; employer costs excluded.</x:v>
      </x:c>
    </x:row>
    <x:row r="69" ht="23" customHeight="1">
      <x:c r="B69" s="2" t="str">
        <x:v>Owner budget</x:v>
      </x:c>
      <x:c r="C69" s="2"/>
      <x:c r="D69" s="42" t="str">
        <x:v>Economic value of owner time; not a complete employee payroll estimate.</x:v>
      </x:c>
    </x:row>
    <x:row r="70" ht="23" customHeight="1">
      <x:c r="B70" s="2" t="str">
        <x:v>Employee staffing</x:v>
      </x:c>
      <x:c r="C70" s="2"/>
      <x:c r="D70" s="42" t="str">
        <x:v>Add applicable overtime, employer taxes, paid leave and workers' compensation.</x:v>
      </x:c>
    </x:row>
    <x:row r="71" ht="23" customHeight="1">
      <x:c r="B71" s="2" t="str">
        <x:v>Work time</x:v>
      </x:c>
      <x:c r="C71" s="2"/>
      <x:c r="D71" s="42" t="str">
        <x:v>Record actual prep, training, tours, returns, admin and required work travel.</x:v>
      </x:c>
    </x:row>
    <x:row r="72" ht="34" customHeight="1">
      <x:c r="B72" s="2" t="str">
        <x:v>Wage source</x:v>
      </x:c>
      <x:c r="C72" s="2"/>
      <x:c r="D72" s="49" t="str">
        <x:v>https://media.api.sf.gov/documents/2026_Historical_San_Francisco_Minimum_Wage_Rates_M9ynRNo.pdf</x:v>
      </x:c>
    </x:row>
    <x:row r="73" ht="23" customHeight="1">
      <x:c r="B73" s="2" t="str">
        <x:v>Overtime source</x:v>
      </x:c>
      <x:c r="C73" s="2"/>
      <x:c r="D73" s="49" t="str">
        <x:v>https://www.dir.ca.gov/dlse/faq_overtime.htm</x:v>
      </x:c>
    </x:row>
    <x:row r="74" ht="23" customHeight="1">
      <x:c r="B74" s="2" t="str">
        <x:v>Paid-time source</x:v>
      </x:c>
      <x:c r="C74" s="2"/>
      <x:c r="D74" s="49" t="str">
        <x:v>https://www.dol.gov/agencies/whd/fact-sheets/22-flsa-hours-worked</x:v>
      </x:c>
    </x:row>
    <x:row r="75" ht="23" customHeight="1">
      <x:c r="B75" s="2" t="str">
        <x:v>Input validation</x:v>
      </x:c>
      <x:c r="C75" s="2"/>
      <x:c r="D75" s="42" t="str">
        <x:v>Missing or invalid hourly rates show #N/A; enter positive numbers.</x:v>
      </x:c>
    </x:row>
    <x:row r="76" ht="23" customHeight="1">
      <x:c r="B76" s="2" t="str">
        <x:v>Staffing limit</x:v>
      </x:c>
      <x:c r="C76" s="2"/>
      <x:c r="D76" s="42" t="str">
        <x:v>267 hours/month is owner workload, not a flat-rate employee payroll budget.</x:v>
      </x:c>
    </x:row>
  </x:sheetData>
  <x:conditionalFormatting sqref="C65:C65">
    <x:cfRule type="expression" dxfId="4" priority="1">
      <x:formula>OR(NOT(ISNUMBER(C65)),C65&lt;=0)</x:formula>
    </x:cfRule>
  </x:conditionalFormatting>
  <x:dataValidations count="2">
    <x:dataValidation type="whole" operator="between" sqref="C7">
      <x:formula1>1</x:formula1>
      <x:formula2>3</x:formula2>
    </x:dataValidation>
    <x:dataValidation type="decimal" operator="greaterThan" sqref="C65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69D8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9" hidden="0" customWidth="1"/>
    <x:col min="8" max="8" width="5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31" customHeight="1">
      <x:c r="A2" s="2"/>
      <x:c r="B2" s="3" t="str">
        <x:v>AI SF TOUR / STARTUP</x:v>
      </x:c>
      <x:c r="C2" s="2"/>
      <x:c r="D2" s="2"/>
      <x:c r="E2" s="2"/>
      <x:c r="F2" s="2"/>
      <x:c r="G2" s="2"/>
      <x:c r="H2" s="2"/>
    </x:row>
    <x:row r="3" ht="23" customHeight="1">
      <x:c r="A3" s="2"/>
      <x:c r="B3" s="4"/>
      <x:c r="C3" s="4"/>
      <x:c r="D3" s="4"/>
      <x:c r="E3" s="4"/>
      <x:c r="F3" s="4"/>
      <x:c r="G3" s="4"/>
      <x:c r="H3" s="4"/>
    </x:row>
    <x:row r="4" ht="23" customHeight="1">
      <x:c r="A4" s="2"/>
      <x:c r="B4" s="5" t="str">
        <x:v>Planning estimates only • no vendor quotes received • enter actual quotes in amber cells</x:v>
      </x:c>
      <x:c r="C4" s="5"/>
      <x:c r="D4" s="5"/>
      <x:c r="E4" s="5"/>
      <x:c r="F4" s="5"/>
      <x:c r="G4" s="5"/>
      <x:c r="H4" s="5"/>
    </x:row>
    <x:row r="5" ht="23" customHeight="1">
      <x:c r="A5" s="2"/>
      <x:c r="B5" s="2"/>
      <x:c r="C5" s="2"/>
      <x:c r="D5" s="2"/>
      <x:c r="E5" s="2"/>
      <x:c r="F5" s="2"/>
      <x:c r="G5" s="2"/>
      <x:c r="H5" s="2"/>
    </x:row>
    <x:row r="6" ht="23" customHeight="1">
      <x:c r="A6" s="2"/>
      <x:c r="B6" s="2" t="str">
        <x:v>Case selected</x:v>
      </x:c>
      <x:c r="C6" s="26" t="str">
        <x:f>'Assumptions'!C8</x:f>
        <x:v>Base</x:v>
      </x:c>
      <x:c r="D6" s="2"/>
      <x:c r="E6" s="2"/>
      <x:c r="F6" s="2"/>
      <x:c r="G6" s="2"/>
      <x:c r="H6" s="2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28" customHeight="1">
      <x:c r="A8" s="2"/>
      <x:c r="B8" s="7" t="str">
        <x:v>Item</x:v>
      </x:c>
      <x:c r="C8" s="7" t="str">
        <x:v>Qty</x:v>
      </x:c>
      <x:c r="D8" s="7" t="str">
        <x:v>Unit estimate</x:v>
      </x:c>
      <x:c r="E8" s="7" t="str">
        <x:v>Quote total</x:v>
      </x:c>
      <x:c r="F8" s="7" t="str">
        <x:v>Selected cost</x:v>
      </x:c>
      <x:c r="G8" s="7" t="str">
        <x:v>Basis</x:v>
      </x:c>
      <x:c r="H8" s="7" t="str">
        <x:v>Scope / note</x:v>
      </x:c>
    </x:row>
    <x:row r="9" ht="23" customHeight="1">
      <x:c r="A9" s="2"/>
      <x:c r="B9" s="2" t="str">
        <x:v>Registration / permit allowance</x:v>
      </x:c>
      <x:c r="C9" s="10" t="n">
        <x:v>1</x:v>
      </x:c>
      <x:c r="D9" s="19" t="n">
        <x:v>400</x:v>
      </x:c>
      <x:c r="E9" s="19"/>
      <x:c r="F9" s="20" t="n">
        <x:f>IF(ISNUMBER(E9),E9,C9*D9)</x:f>
        <x:v>400</x:v>
      </x:c>
      <x:c r="G9" s="2" t="str">
        <x:f>IF(ISNUMBER(E9),"Quote entered","Estimate")</x:f>
        <x:v>Estimate</x:v>
      </x:c>
      <x:c r="H9" s="23" t="str">
        <x:v>Confirm jurisdiction and actual fees.</x:v>
      </x:c>
    </x:row>
    <x:row r="10" ht="23" customHeight="1">
      <x:c r="A10" s="2"/>
      <x:c r="B10" s="2" t="str">
        <x:v>Insurance initial premium / deposit</x:v>
      </x:c>
      <x:c r="C10" s="10" t="n">
        <x:v>1</x:v>
      </x:c>
      <x:c r="D10" s="19" t="n">
        <x:v>600</x:v>
      </x:c>
      <x:c r="E10" s="19"/>
      <x:c r="F10" s="20" t="n">
        <x:f>IF(ISNUMBER(E10),E10,C10*D10)</x:f>
        <x:v>600</x:v>
      </x:c>
      <x:c r="G10" s="2" t="str">
        <x:f>IF(ISNUMBER(E10),"Quote entered","Estimate")</x:f>
        <x:v>Estimate</x:v>
      </x:c>
      <x:c r="H10" s="23" t="str">
        <x:v>Cash placeholder; avoid overlap with first monthly bill.</x:v>
      </x:c>
    </x:row>
    <x:row r="11" ht="23" customHeight="1">
      <x:c r="A11" s="2"/>
      <x:c r="B11" s="2" t="str">
        <x:v>Terms / waiver / legal review</x:v>
      </x:c>
      <x:c r="C11" s="10" t="n">
        <x:v>1</x:v>
      </x:c>
      <x:c r="D11" s="19" t="n">
        <x:v>600</x:v>
      </x:c>
      <x:c r="E11" s="19"/>
      <x:c r="F11" s="20" t="n">
        <x:f>IF(ISNUMBER(E11),E11,C11*D11)</x:f>
        <x:v>600</x:v>
      </x:c>
      <x:c r="G11" s="2" t="str">
        <x:f>IF(ISNUMBER(E11),"Quote entered","Estimate")</x:f>
        <x:v>Estimate</x:v>
      </x:c>
      <x:c r="H11" s="23" t="str">
        <x:v>Scope and price unquoted.</x:v>
      </x:c>
    </x:row>
    <x:row r="12" ht="23" customHeight="1">
      <x:c r="A12" s="2"/>
      <x:c r="B12" s="2" t="str">
        <x:v>Route rehearsals: guide hours</x:v>
      </x:c>
      <x:c r="C12" s="10" t="n">
        <x:v>12</x:v>
      </x:c>
      <x:c r="D12" s="51" t="n">
        <x:f>'Assumptions'!C66</x:f>
        <x:v>40</x:v>
      </x:c>
      <x:c r="E12" s="19"/>
      <x:c r="F12" s="20" t="n">
        <x:f>IF(ISNUMBER(E12),E12,C12*D12)</x:f>
        <x:v>480</x:v>
      </x:c>
      <x:c r="G12" s="2" t="str">
        <x:f>IF(ISNUMBER(E12),"Quote entered","Estimate")</x:f>
        <x:v>Estimate</x:v>
      </x:c>
      <x:c r="H12" s="23" t="str">
        <x:v>12 rehearsal hours at the effective budget rate; no venue admission assumed.</x:v>
      </x:c>
    </x:row>
    <x:row r="13" ht="23" customHeight="1">
      <x:c r="A13" s="2"/>
      <x:c r="B13" s="2" t="str">
        <x:v>Website setup / configuration</x:v>
      </x:c>
      <x:c r="C13" s="10" t="n">
        <x:v>1</x:v>
      </x:c>
      <x:c r="D13" s="19" t="n">
        <x:v>300</x:v>
      </x:c>
      <x:c r="E13" s="19"/>
      <x:c r="F13" s="20" t="n">
        <x:f>IF(ISNUMBER(E13),E13,C13*D13)</x:f>
        <x:v>300</x:v>
      </x:c>
      <x:c r="G13" s="2" t="str">
        <x:f>IF(ISNUMBER(E13),"Quote entered","Estimate")</x:f>
        <x:v>Estimate</x:v>
      </x:c>
      <x:c r="H13" s="23" t="str">
        <x:v>DIY allowance; no agency quote.</x:v>
      </x:c>
    </x:row>
    <x:row r="14" ht="23" customHeight="1">
      <x:c r="A14" s="2"/>
      <x:c r="B14" s="2" t="str">
        <x:v>Domain first year</x:v>
      </x:c>
      <x:c r="C14" s="10" t="n">
        <x:v>1</x:v>
      </x:c>
      <x:c r="D14" s="19" t="n">
        <x:v>20</x:v>
      </x:c>
      <x:c r="E14" s="19"/>
      <x:c r="F14" s="20" t="n">
        <x:f>IF(ISNUMBER(E14),E14,C14*D14)</x:f>
        <x:v>20</x:v>
      </x:c>
      <x:c r="G14" s="2" t="str">
        <x:f>IF(ISNUMBER(E14),"Quote entered","Estimate")</x:f>
        <x:v>Estimate</x:v>
      </x:c>
      <x:c r="H14" s="23" t="str">
        <x:v>Availability / renewal price unverified.</x:v>
      </x:c>
    </x:row>
    <x:row r="15" ht="23" customHeight="1">
      <x:c r="A15" s="2"/>
      <x:c r="B15" s="2" t="str">
        <x:v>Booking / checkout setup</x:v>
      </x:c>
      <x:c r="C15" s="10" t="n">
        <x:v>1</x:v>
      </x:c>
      <x:c r="D15" s="19" t="n">
        <x:v>100</x:v>
      </x:c>
      <x:c r="E15" s="19"/>
      <x:c r="F15" s="20" t="n">
        <x:f>IF(ISNUMBER(E15),E15,C15*D15)</x:f>
        <x:v>100</x:v>
      </x:c>
      <x:c r="G15" s="2" t="str">
        <x:f>IF(ISNUMBER(E15),"Quote entered","Estimate")</x:f>
        <x:v>Estimate</x:v>
      </x:c>
      <x:c r="H15" s="23" t="str">
        <x:v>DIY allowance; no live checkout implied.</x:v>
      </x:c>
    </x:row>
    <x:row r="16" ht="23" customHeight="1">
      <x:c r="A16" s="2"/>
      <x:c r="B16" s="2" t="str">
        <x:v>18 × 24 in weatherproof panels</x:v>
      </x:c>
      <x:c r="C16" s="10" t="n">
        <x:v>2</x:v>
      </x:c>
      <x:c r="D16" s="19" t="n">
        <x:v>60</x:v>
      </x:c>
      <x:c r="E16" s="19"/>
      <x:c r="F16" s="20" t="n">
        <x:f>IF(ISNUMBER(E16),E16,C16*D16)</x:f>
        <x:v>120</x:v>
      </x:c>
      <x:c r="G16" s="2" t="str">
        <x:f>IF(ISNUMBER(E16),"Quote entered","Estimate")</x:f>
        <x:v>Estimate</x:v>
      </x:c>
      <x:c r="H16" s="23" t="str">
        <x:v>Two rigid panels; print estimate only.</x:v>
      </x:c>
    </x:row>
    <x:row r="17" ht="23" customHeight="1">
      <x:c r="A17" s="2"/>
      <x:c r="B17" s="2" t="str">
        <x:v>Compact folding outdoor frame</x:v>
      </x:c>
      <x:c r="C17" s="10" t="n">
        <x:v>1</x:v>
      </x:c>
      <x:c r="D17" s="19" t="n">
        <x:v>180</x:v>
      </x:c>
      <x:c r="E17" s="19"/>
      <x:c r="F17" s="20" t="n">
        <x:f>IF(ISNUMBER(E17),E17,C17*D17)</x:f>
        <x:v>180</x:v>
      </x:c>
      <x:c r="G17" s="2" t="str">
        <x:f>IF(ISNUMBER(E17),"Quote entered","Estimate")</x:f>
        <x:v>Estimate</x:v>
      </x:c>
      <x:c r="H17" s="23" t="str">
        <x:v>Target spec, select compatible rated product.</x:v>
      </x:c>
    </x:row>
    <x:row r="18" ht="23" customHeight="1">
      <x:c r="A18" s="2"/>
      <x:c r="B18" s="2" t="str">
        <x:v>Cargo bike trailer</x:v>
      </x:c>
      <x:c r="C18" s="10" t="n">
        <x:v>1</x:v>
      </x:c>
      <x:c r="D18" s="19" t="n">
        <x:v>350</x:v>
      </x:c>
      <x:c r="E18" s="19"/>
      <x:c r="F18" s="20" t="n">
        <x:f>IF(ISNUMBER(E18),E18,C18*D18)</x:f>
        <x:v>350</x:v>
      </x:c>
      <x:c r="G18" s="2" t="str">
        <x:f>IF(ISNUMBER(E18),"Quote entered","Estimate")</x:f>
        <x:v>Estimate</x:v>
      </x:c>
      <x:c r="H18" s="23" t="str">
        <x:v>Planning allowance; bicycle / hitch fit unknown.</x:v>
      </x:c>
    </x:row>
    <x:row r="19" ht="23" customHeight="1">
      <x:c r="A19" s="2"/>
      <x:c r="B19" s="2" t="str">
        <x:v>Panel sleeve + straps</x:v>
      </x:c>
      <x:c r="C19" s="10" t="n">
        <x:v>1</x:v>
      </x:c>
      <x:c r="D19" s="19" t="n">
        <x:v>60</x:v>
      </x:c>
      <x:c r="E19" s="19"/>
      <x:c r="F19" s="20" t="n">
        <x:f>IF(ISNUMBER(E19),E19,C19*D19)</x:f>
        <x:v>60</x:v>
      </x:c>
      <x:c r="G19" s="2" t="str">
        <x:f>IF(ISNUMBER(E19),"Quote entered","Estimate")</x:f>
        <x:v>Estimate</x:v>
      </x:c>
      <x:c r="H19" s="23" t="str">
        <x:v>Padded sleeve and independent tie-downs.</x:v>
      </x:c>
    </x:row>
    <x:row r="20" ht="23" customHeight="1">
      <x:c r="A20" s="2"/>
      <x:c r="B20" s="2" t="str">
        <x:v>Empty ballast bags</x:v>
      </x:c>
      <x:c r="C20" s="10" t="n">
        <x:v>2</x:v>
      </x:c>
      <x:c r="D20" s="19" t="n">
        <x:v>20</x:v>
      </x:c>
      <x:c r="E20" s="19"/>
      <x:c r="F20" s="20" t="n">
        <x:f>IF(ISNUMBER(E20),E20,C20*D20)</x:f>
        <x:v>40</x:v>
      </x:c>
      <x:c r="G20" s="2" t="str">
        <x:f>IF(ISNUMBER(E20),"Quote entered","Estimate")</x:f>
        <x:v>Estimate</x:v>
      </x:c>
      <x:c r="H20" s="23" t="str">
        <x:v>Fill at site only if allowed; ballast spec unverified.</x:v>
      </x:c>
    </x:row>
    <x:row r="21" ht="23" customHeight="1">
      <x:c r="A21" s="2"/>
      <x:c r="B21" s="2" t="str">
        <x:v>Small voice amplifier</x:v>
      </x:c>
      <x:c r="C21" s="10" t="n">
        <x:v>1</x:v>
      </x:c>
      <x:c r="D21" s="19" t="n">
        <x:v>120</x:v>
      </x:c>
      <x:c r="E21" s="19"/>
      <x:c r="F21" s="20" t="n">
        <x:f>IF(ISNUMBER(E21),E21,C21*D21)</x:f>
        <x:v>120</x:v>
      </x:c>
      <x:c r="G21" s="2" t="str">
        <x:f>IF(ISNUMBER(E21),"Quote entered","Estimate")</x:f>
        <x:v>Estimate</x:v>
      </x:c>
      <x:c r="H21" s="23" t="str">
        <x:v>Optional; check local use restrictions.</x:v>
      </x:c>
    </x:row>
    <x:row r="22" ht="23" customHeight="1">
      <x:c r="A22" s="2"/>
      <x:c r="B22" s="2" t="str">
        <x:v>Guide visibility apparel</x:v>
      </x:c>
      <x:c r="C22" s="10" t="n">
        <x:v>1</x:v>
      </x:c>
      <x:c r="D22" s="19" t="n">
        <x:v>30</x:v>
      </x:c>
      <x:c r="E22" s="19"/>
      <x:c r="F22" s="20" t="n">
        <x:f>IF(ISNUMBER(E22),E22,C22*D22)</x:f>
        <x:v>30</x:v>
      </x:c>
      <x:c r="G22" s="2" t="str">
        <x:f>IF(ISNUMBER(E22),"Quote entered","Estimate")</x:f>
        <x:v>Estimate</x:v>
      </x:c>
      <x:c r="H22" s="23" t="str">
        <x:v>Planning estimate.</x:v>
      </x:c>
    </x:row>
    <x:row r="23" ht="23" customHeight="1">
      <x:c r="A23" s="2"/>
      <x:c r="B23" s="2" t="str">
        <x:v>First-aid + phone battery</x:v>
      </x:c>
      <x:c r="C23" s="10" t="n">
        <x:v>1</x:v>
      </x:c>
      <x:c r="D23" s="19" t="n">
        <x:v>80</x:v>
      </x:c>
      <x:c r="E23" s="19"/>
      <x:c r="F23" s="20" t="n">
        <x:f>IF(ISNUMBER(E23),E23,C23*D23)</x:f>
        <x:v>80</x:v>
      </x:c>
      <x:c r="G23" s="2" t="str">
        <x:f>IF(ISNUMBER(E23),"Quote entered","Estimate")</x:f>
        <x:v>Estimate</x:v>
      </x:c>
      <x:c r="H23" s="23" t="str">
        <x:v>Planning estimate.</x:v>
      </x:c>
    </x:row>
    <x:row r="24" ht="23" customHeight="1">
      <x:c r="A24" s="2"/>
      <x:c r="B24" s="2" t="str">
        <x:v>Launch advertising tests</x:v>
      </x:c>
      <x:c r="C24" s="10" t="n">
        <x:v>1</x:v>
      </x:c>
      <x:c r="D24" s="19" t="n">
        <x:v>400</x:v>
      </x:c>
      <x:c r="E24" s="19"/>
      <x:c r="F24" s="20" t="n">
        <x:f>IF(ISNUMBER(E24),E24,C24*D24)</x:f>
        <x:v>400</x:v>
      </x:c>
      <x:c r="G24" s="2" t="str">
        <x:f>IF(ISNUMBER(E24),"Quote entered","Estimate")</x:f>
        <x:v>Estimate</x:v>
      </x:c>
      <x:c r="H24" s="23" t="str">
        <x:v>Separate from recurring monthly marketing.</x:v>
      </x:c>
    </x:row>
    <x:row r="25" ht="23" customHeight="1">
      <x:c r="A25" s="2"/>
      <x:c r="B25" s="2" t="str">
        <x:v>Launch photography</x:v>
      </x:c>
      <x:c r="C25" s="10" t="n">
        <x:v>1</x:v>
      </x:c>
      <x:c r="D25" s="19" t="n">
        <x:v>150</x:v>
      </x:c>
      <x:c r="E25" s="19"/>
      <x:c r="F25" s="20" t="n">
        <x:f>IF(ISNUMBER(E25),E25,C25*D25)</x:f>
        <x:v>150</x:v>
      </x:c>
      <x:c r="G25" s="2" t="str">
        <x:f>IF(ISNUMBER(E25),"Quote entered","Estimate")</x:f>
        <x:v>Estimate</x:v>
      </x:c>
      <x:c r="H25" s="23" t="str">
        <x:v>DIY / small editing allowance.</x:v>
      </x:c>
    </x:row>
    <x:row r="26" ht="23" customHeight="1">
      <x:c r="A26" s="2"/>
      <x:c r="B26" s="2"/>
      <x:c r="C26" s="2"/>
      <x:c r="D26" s="2"/>
      <x:c r="E26" s="2"/>
      <x:c r="F26" s="2"/>
      <x:c r="G26" s="2"/>
      <x:c r="H26" s="2"/>
    </x:row>
    <x:row r="27" ht="23" customHeight="1">
      <x:c r="A27" s="2"/>
      <x:c r="B27" s="2" t="str">
        <x:v>Selected startup costs</x:v>
      </x:c>
      <x:c r="C27" s="2"/>
      <x:c r="D27" s="2"/>
      <x:c r="E27" s="2"/>
      <x:c r="F27" s="20" t="n">
        <x:f>SUM(F9:F25)</x:f>
        <x:v>4030</x:v>
      </x:c>
      <x:c r="G27" s="2"/>
      <x:c r="H27" s="2"/>
    </x:row>
    <x:row r="28" ht="23" customHeight="1">
      <x:c r="A28" s="2"/>
      <x:c r="B28" s="2" t="str">
        <x:v>Contingency</x:v>
      </x:c>
      <x:c r="C28" s="2"/>
      <x:c r="D28" s="2"/>
      <x:c r="E28" s="2"/>
      <x:c r="F28" s="30" t="n">
        <x:f>F27*'Assumptions'!C39</x:f>
        <x:v>604.5</x:v>
      </x:c>
      <x:c r="G28" s="2"/>
      <x:c r="H28" s="2"/>
    </x:row>
    <x:row r="29" ht="23" customHeight="1">
      <x:c r="A29" s="2"/>
      <x:c r="B29" s="2" t="str">
        <x:v>Startup budget</x:v>
      </x:c>
      <x:c r="C29" s="2"/>
      <x:c r="D29" s="2"/>
      <x:c r="E29" s="2"/>
      <x:c r="F29" s="20" t="n">
        <x:f>SUM(F27:F28)</x:f>
        <x:v>4634.5</x:v>
      </x:c>
      <x:c r="G29" s="2"/>
      <x:c r="H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  <x:row r="31" ht="23" customHeight="1">
      <x:c r="A31" s="2"/>
      <x:c r="B31" s="2" t="str">
        <x:v>Monthly committed cost reserve</x:v>
      </x:c>
      <x:c r="C31" s="2"/>
      <x:c r="D31" s="2"/>
      <x:c r="E31" s="2"/>
      <x:c r="F31" s="30" t="n">
        <x:f>'Monthly'!C58</x:f>
        <x:v>11897.2</x:v>
      </x:c>
      <x:c r="G31" s="2"/>
      <x:c r="H31" s="2"/>
    </x:row>
    <x:row r="32" ht="23" customHeight="1">
      <x:c r="A32" s="2"/>
      <x:c r="B32" s="2" t="str">
        <x:v>Reserve months</x:v>
      </x:c>
      <x:c r="C32" s="2"/>
      <x:c r="D32" s="2"/>
      <x:c r="E32" s="2"/>
      <x:c r="F32" s="39" t="n">
        <x:f>'Assumptions'!C40</x:f>
        <x:v>2</x:v>
      </x:c>
      <x:c r="G32" s="2"/>
      <x:c r="H32" s="2"/>
    </x:row>
    <x:row r="33" ht="23" customHeight="1">
      <x:c r="A33" s="2"/>
      <x:c r="B33" s="2" t="str">
        <x:v>Working-capital reserve</x:v>
      </x:c>
      <x:c r="C33" s="2"/>
      <x:c r="D33" s="2"/>
      <x:c r="E33" s="2"/>
      <x:c r="F33" s="20" t="n">
        <x:f>F31*F32</x:f>
        <x:v>23794.4</x:v>
      </x:c>
      <x:c r="G33" s="2"/>
      <x:c r="H33" s="2"/>
    </x:row>
    <x:row r="34" ht="28" customHeight="1">
      <x:c r="A34" s="2"/>
      <x:c r="B34" s="32" t="str">
        <x:v>Launch funding target</x:v>
      </x:c>
      <x:c r="C34" s="32"/>
      <x:c r="D34" s="32"/>
      <x:c r="E34" s="32"/>
      <x:c r="F34" s="33" t="n">
        <x:f>SUM(F29,F33)</x:f>
        <x:v>28428.9</x:v>
      </x:c>
      <x:c r="G34" s="32"/>
      <x:c r="H34" s="3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</x:row>
    <x:row r="37" ht="23" customHeight="1">
      <x:c r="A37" s="2"/>
      <x:c r="B37" s="5" t="str">
        <x:v>Replace an estimate with a quote total; a zero quote is honored.</x:v>
      </x:c>
      <x:c r="C37" s="5"/>
      <x:c r="D37" s="5"/>
      <x:c r="E37" s="5"/>
      <x:c r="F37" s="5"/>
      <x:c r="G37" s="5"/>
      <x:c r="H37" s="5"/>
    </x:row>
    <x:row r="38" ht="23" customHeight="1">
      <x:c r="A38" s="2"/>
      <x:c r="B38" s="5" t="str">
        <x:v>Launch funding includes two months of owner pay / reserve before relying on sales.</x:v>
      </x:c>
      <x:c r="C38" s="5"/>
      <x:c r="D38" s="5"/>
      <x:c r="E38" s="5"/>
      <x:c r="F38" s="5"/>
      <x:c r="G38" s="5"/>
      <x:c r="H38" s="5"/>
    </x:row>
    <x:row r="39" ht="23" customHeight="1">
      <x:c r="A39" s="2"/>
      <x:c r="B39" s="5" t="str">
        <x:v>Rehearsal labor is an economic startup cost even if the owner defers that payment.</x:v>
      </x:c>
      <x:c r="C39" s="5"/>
      <x:c r="D39" s="5"/>
      <x:c r="E39" s="5"/>
      <x:c r="F39" s="5"/>
      <x:c r="G39" s="5"/>
      <x:c r="H39" s="5"/>
    </x:row>
    <x:row r="40" ht="23" customHeight="1">
      <x:c r="A40" s="2"/>
      <x:c r="B40" s="5" t="str">
        <x:v>No purchases made. Stand, trailer, print and permits require actual quotes and fit checks.</x:v>
      </x:c>
      <x:c r="C40" s="5"/>
      <x:c r="D40" s="5"/>
      <x:c r="E40" s="5"/>
      <x:c r="F40" s="5"/>
      <x:c r="G40" s="5"/>
      <x:c r="H40" s="5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</x:row>
  </x:sheetData>
  <x:pageMargins left="0.7" right="0.7" top="0.75" bottom="0.75" header="0.3" footer="0.3"/>
</x:worksheet>
</file>